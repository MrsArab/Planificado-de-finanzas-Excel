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pivotCache/pivotCacheDefinition7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Idnem\Downloads\"/>
    </mc:Choice>
  </mc:AlternateContent>
  <xr:revisionPtr revIDLastSave="0" documentId="13_ncr:1_{48C32657-D3CC-4769-B45E-188678ADEA4D}" xr6:coauthVersionLast="47" xr6:coauthVersionMax="47" xr10:uidLastSave="{00000000-0000-0000-0000-000000000000}"/>
  <bookViews>
    <workbookView xWindow="-108" yWindow="-108" windowWidth="23256" windowHeight="13176" activeTab="2" xr2:uid="{653AB8D7-2E4A-43E9-847B-0DFEDC47713B}"/>
  </bookViews>
  <sheets>
    <sheet name="Proyectar" sheetId="1" r:id="rId1"/>
    <sheet name="Diario" sheetId="7" r:id="rId2"/>
    <sheet name="Ejecucion" sheetId="10" r:id="rId3"/>
    <sheet name="Auxiliar" sheetId="3" r:id="rId4"/>
    <sheet name="BD" sheetId="2" r:id="rId5"/>
    <sheet name="BD_Diario" sheetId="6" r:id="rId6"/>
    <sheet name="Configuracion" sheetId="12" state="veryHidden" r:id="rId7"/>
    <sheet name="Hoja2" sheetId="9" state="veryHidden" r:id="rId8"/>
    <sheet name="Auxiliar 2" sheetId="5" state="veryHidden" r:id="rId9"/>
  </sheets>
  <definedNames>
    <definedName name="_xlcn.WorksheetConnection_Planificador.xlsmModo1" hidden="1">Modo[]</definedName>
    <definedName name="_xleta.DATE" hidden="1" xlm="1">#NAME?</definedName>
    <definedName name="_xleta.SUM" hidden="1" xlm="1">#NAME?</definedName>
    <definedName name="_xleta.YEAR" hidden="1" xlm="1">#NAME?</definedName>
    <definedName name="_xlpm.accum" hidden="1" xlm="1">#NAME?</definedName>
    <definedName name="_xlpm.Año_P" hidden="1" xlm="1">#NAME?</definedName>
    <definedName name="_xlpm.Año_previo" hidden="1" xlm="1">#NAME?</definedName>
    <definedName name="_xlpm.c" hidden="1" xlm="1">#NAME?</definedName>
    <definedName name="_xlpm.col" hidden="1" xlm="1">#NAME?</definedName>
    <definedName name="_xlpm.concepto_actual" hidden="1" xlm="1">#NAME?</definedName>
    <definedName name="_xlpm.conceptoF" hidden="1" xlm="1">#NAME?</definedName>
    <definedName name="_xlpm.Conceptos_Ordenados" hidden="1" xlm="1">#NAME?</definedName>
    <definedName name="_xlpm.Conceptos_P" hidden="1" xlm="1">#NAME?</definedName>
    <definedName name="_xlpm.Datos" hidden="1" xlm="1">#NAME?</definedName>
    <definedName name="_xlpm.DATOS2" hidden="1" xlm="1">#NAME?</definedName>
    <definedName name="_xlpm.DescripcionF" hidden="1" xlm="1">#NAME?</definedName>
    <definedName name="_xlpm.DetalleF" hidden="1" xlm="1">#NAME?</definedName>
    <definedName name="_xlpm.Elementos" hidden="1" xlm="1">#NAME?</definedName>
    <definedName name="_xlpm.Encabezado" hidden="1" xlm="1">#NAME?</definedName>
    <definedName name="_xlpm.f" hidden="1" xlm="1">#NAME?</definedName>
    <definedName name="_xlpm.F_meses" hidden="1" xlm="1">#NAME?</definedName>
    <definedName name="_xlpm.fil" hidden="1" xlm="1">#NAME?</definedName>
    <definedName name="_xlpm.frec" hidden="1" xlm="1">#NAME?</definedName>
    <definedName name="_xlpm.L_Dias" hidden="1" xlm="1">#NAME?</definedName>
    <definedName name="_xlpm.L_Mes" hidden="1" xlm="1">#NAME?</definedName>
    <definedName name="_xlpm.largo" hidden="1" xlm="1">#NAME?</definedName>
    <definedName name="_xlpm.Lista" hidden="1" xlm="1">#NAME?</definedName>
    <definedName name="_xlpm.Lista_Meses" hidden="1" xlm="1">#NAME?</definedName>
    <definedName name="_xlpm.mes_actual" hidden="1" xlm="1">#NAME?</definedName>
    <definedName name="_xlpm.Mes_Anterior" hidden="1" xlm="1">#NAME?</definedName>
    <definedName name="_xlpm.Mes_presupuesto" hidden="1" xlm="1">#NAME?</definedName>
    <definedName name="_xlpm.Mes_previo" hidden="1" xlm="1">#NAME?</definedName>
    <definedName name="_xlpm.meses" hidden="1" xlm="1">#NAME?</definedName>
    <definedName name="_xlpm.Meses_Ordenados" hidden="1" xlm="1">#NAME?</definedName>
    <definedName name="_xlpm.Monto" hidden="1" xlm="1">#NAME?</definedName>
    <definedName name="_xlpm.new" hidden="1" xlm="1">#NAME?</definedName>
    <definedName name="_xlpm.nums" hidden="1" xlm="1">#NAME?</definedName>
    <definedName name="_xlpm.Orden_Conceptos" hidden="1" xlm="1">#NAME?</definedName>
    <definedName name="_xlpm.Ordenar_mes" hidden="1" xlm="1">#NAME?</definedName>
    <definedName name="_xlpm.periodo" hidden="1" xlm="1">#NAME?</definedName>
    <definedName name="_xlpm.resultado" hidden="1" xlm="1">#NAME?</definedName>
    <definedName name="_xlpm.row" hidden="1" xlm="1">#NAME?</definedName>
    <definedName name="_xlpm.selector" hidden="1" xlm="1">#NAME?</definedName>
    <definedName name="_xlpm.Total_Ingresos" hidden="1" xlm="1">#NAME?</definedName>
    <definedName name="_xlpm.Total_Salidas" hidden="1" xlm="1">#NAME?</definedName>
    <definedName name="_xlpm.Total_Utilidades" hidden="1" xlm="1">#NAME?</definedName>
    <definedName name="_xlpm.V_Año" hidden="1" xlm="1">#NAME?</definedName>
    <definedName name="_xlpm.V_Mes" hidden="1" xlm="1">#NAME?</definedName>
    <definedName name="_xlpm.valores" hidden="1" xlm="1">#NAME?</definedName>
    <definedName name="_xlpm.Valores_Actual" hidden="1" xlm="1">#NAME?</definedName>
    <definedName name="_xlpm.Valores_Anteriores" hidden="1" xlm="1">#NAME?</definedName>
    <definedName name="_xlpm.Valores_detalle" hidden="1" xlm="1">#NAME?</definedName>
    <definedName name="_xlpm.Valores_Utilidad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SegmentaciónDeDatos_Descripción">#N/A</definedName>
    <definedName name="SegmentaciónDeDatos_Elementos">#N/A</definedName>
    <definedName name="SegmentaciónDeDatos_Elementos1">#N/A</definedName>
    <definedName name="SegmentaciónDeDatos_Nombre_del_mes">#N/A</definedName>
    <definedName name="Timeline_Fechas">#N/A</definedName>
  </definedNames>
  <calcPr calcId="191029"/>
  <pivotCaches>
    <pivotCache cacheId="0" r:id="rId10"/>
    <pivotCache cacheId="1" r:id="rId11"/>
    <pivotCache cacheId="2" r:id="rId12"/>
    <pivotCache cacheId="3" r:id="rId13"/>
    <pivotCache cacheId="4" r:id="rId14"/>
  </pivotCaches>
  <extLst>
    <ext xmlns:x14="http://schemas.microsoft.com/office/spreadsheetml/2009/9/main" uri="{876F7934-8845-4945-9796-88D515C7AA90}">
      <x14:pivotCaches>
        <pivotCache cacheId="5" r:id="rId15"/>
      </x14:pivotCaches>
    </ex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6" r:id="rId20"/>
      </x15:timelineCachePivotCaches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io_765591cd-ddff-4902-89a4-32d4936a34f6" name="Calendario" connection="Consulta - Calendario"/>
          <x15:modelTable id="BD_Presupuesto_9a48dd79-7192-4284-bb99-71bf85b1c15d" name="BD_Presupuesto" connection="Consulta - BD_Presupuesto"/>
          <x15:modelTable id="BD_Real_a1522f7b-84e7-4390-9b7d-f1fac3770185" name="BD_Real" connection="Consulta - BD_Real"/>
          <x15:modelTable id="Detalle Tipo_8827d928-de95-4613-bff3-e8856c8ac2dd" name="Detalle Tipo" connection="Consulta - Detalle/Tipo"/>
          <x15:modelTable id="Concepto_11f1619b-7554-4267-b27b-338168c76594" name="Concepto" connection="Consulta - Concepto"/>
          <x15:modelTable id="Descripcion_0be8b333-096d-4f8e-b78c-8276792007e7" name="Descripcion" connection="Consulta - Descripcion"/>
          <x15:modelTable id="Modo" name="Modo" connection="WorksheetConnection_Planificador.xlsm!Modo"/>
          <x15:modelTable id="Medidas" name="Medidas" connection="Conexión"/>
        </x15:modelTables>
        <x15:modelRelationships>
          <x15:modelRelationship fromTable="BD_Presupuesto" fromColumn="Fecha" toTable="Calendario" toColumn="Fechas"/>
          <x15:modelRelationship fromTable="BD_Presupuesto" fromColumn="Detalle" toTable="Detalle Tipo" toColumn="Elementos"/>
          <x15:modelRelationship fromTable="BD_Presupuesto" fromColumn="Concepto" toTable="Concepto" toColumn="Elementos"/>
          <x15:modelRelationship fromTable="BD_Presupuesto" fromColumn="Descripción" toTable="Descripcion" toColumn="Descripción"/>
          <x15:modelRelationship fromTable="BD_Real" fromColumn="Fecha" toTable="Calendario" toColumn="Fechas"/>
          <x15:modelRelationship fromTable="BD_Real" fromColumn="Tipo" toTable="Detalle Tipo" toColumn="Elementos"/>
          <x15:modelRelationship fromTable="BD_Real" fromColumn="Concepto" toTable="Concepto" toColumn="Elementos"/>
          <x15:modelRelationship fromTable="BD_Real" fromColumn="Descripción" toTable="Descripcion" toColumn="Descripció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7" i="1" l="1" a="1"/>
  <c r="Z18" i="5"/>
  <c r="Z8" i="5"/>
  <c r="Y8" i="5"/>
  <c r="X8" i="5"/>
  <c r="Y18" i="5"/>
  <c r="X18" i="5"/>
  <c r="L5" i="5" a="1"/>
  <c r="F18" i="1"/>
  <c r="F19" i="1"/>
  <c r="F20" i="1"/>
  <c r="F21" i="1"/>
  <c r="F22" i="1"/>
  <c r="F23" i="1"/>
  <c r="F24" i="1"/>
  <c r="F25" i="1"/>
  <c r="F26" i="1"/>
  <c r="F27" i="1"/>
  <c r="F28" i="1"/>
  <c r="F17" i="1"/>
  <c r="G10" i="7" a="1"/>
  <c r="A32" i="7" a="1"/>
  <c r="I5" i="5" a="1"/>
  <c r="A5" i="5" a="1"/>
  <c r="B5" i="7"/>
  <c r="F5" i="5" a="1"/>
  <c r="O4" i="1" a="1"/>
  <c r="D5" i="5" a="1"/>
  <c r="H9" i="1" a="1"/>
  <c r="C16" i="1"/>
  <c r="F16" i="1"/>
  <c r="E16" i="1"/>
  <c r="D16" i="1"/>
  <c r="D17" i="1" a="1"/>
  <c r="B8" i="3" a="1"/>
  <c r="B6" i="1"/>
  <c r="C17" i="1" l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72345D-29A0-4AD8-82C5-809AA3F2A76F}" name="Conexión" type="104" refreshedVersion="0" background="1">
    <extLst>
      <ext xmlns:x15="http://schemas.microsoft.com/office/spreadsheetml/2010/11/main" uri="{DE250136-89BD-433C-8126-D09CA5730AF9}">
        <x15:connection id="Medidas"/>
      </ext>
    </extLst>
  </connection>
  <connection id="2" xr16:uid="{00000000-0015-0000-FFFF-FFFF01000000}" name="Consulta - BD_Presupuesto" description="Conexión a la consulta 'BD_Presupuesto' en el libro." type="100" refreshedVersion="8" minRefreshableVersion="5">
    <extLst>
      <ext xmlns:x15="http://schemas.microsoft.com/office/spreadsheetml/2010/11/main" uri="{DE250136-89BD-433C-8126-D09CA5730AF9}">
        <x15:connection id="0efc8e14-2dcb-4f5c-8d30-fbf8378dc1bb"/>
      </ext>
    </extLst>
  </connection>
  <connection id="3" xr16:uid="{00000000-0015-0000-FFFF-FFFF00000000}" name="Consulta - BD_Real" description="Conexión a la consulta 'BD_Real' en el libro." type="100" refreshedVersion="8" minRefreshableVersion="5">
    <extLst>
      <ext xmlns:x15="http://schemas.microsoft.com/office/spreadsheetml/2010/11/main" uri="{DE250136-89BD-433C-8126-D09CA5730AF9}">
        <x15:connection id="c5804afd-ae0a-442c-ad1e-f7f95c4cd897"/>
      </ext>
    </extLst>
  </connection>
  <connection id="4" xr16:uid="{00000000-0015-0000-FFFF-FFFF02000000}" name="Consulta - Calendario" description="Conexión a la consulta 'Calendario' en el libro." type="100" refreshedVersion="8" minRefreshableVersion="5">
    <extLst>
      <ext xmlns:x15="http://schemas.microsoft.com/office/spreadsheetml/2010/11/main" uri="{DE250136-89BD-433C-8126-D09CA5730AF9}">
        <x15:connection id="a9326095-6656-4da2-8c21-0be06992f723"/>
      </ext>
    </extLst>
  </connection>
  <connection id="5" xr16:uid="{2E409CD4-01FB-4A7A-B634-1170AFDC6575}" name="Consulta - Concepto" description="Conexión a la consulta 'Concepto' en el libro." type="100" refreshedVersion="8" minRefreshableVersion="5">
    <extLst>
      <ext xmlns:x15="http://schemas.microsoft.com/office/spreadsheetml/2010/11/main" uri="{DE250136-89BD-433C-8126-D09CA5730AF9}">
        <x15:connection id="eadd8a76-0fcd-4269-a2a5-747f5cb802ee"/>
      </ext>
    </extLst>
  </connection>
  <connection id="6" xr16:uid="{341DB286-B069-41AE-B54F-BB7178FA854B}" keepAlive="1" name="Consulta - Costos" description="Conexión a la consulta 'Costos' en el libro." type="5" refreshedVersion="0" background="1">
    <dbPr connection="Provider=Microsoft.Mashup.OleDb.1;Data Source=$Workbook$;Location=Costos;Extended Properties=&quot;&quot;" command="SELECT * FROM [Costos]"/>
  </connection>
  <connection id="7" xr16:uid="{C70C1237-275B-4F56-8200-1050E36CD568}" name="Consulta - Descripcion" description="Conexión a la consulta 'Descripcion' en el libro." type="100" refreshedVersion="8" minRefreshableVersion="5">
    <extLst>
      <ext xmlns:x15="http://schemas.microsoft.com/office/spreadsheetml/2010/11/main" uri="{DE250136-89BD-433C-8126-D09CA5730AF9}">
        <x15:connection id="1924c0a1-96ac-4786-b2da-58c99644b070"/>
      </ext>
    </extLst>
  </connection>
  <connection id="8" xr16:uid="{130B03F2-4139-4B9A-B2C7-400DDAF81873}" name="Consulta - Detalle/Tipo" description="Conexión a la consulta 'Detalle/Tipo' en el libro." type="100" refreshedVersion="8" minRefreshableVersion="5">
    <extLst>
      <ext xmlns:x15="http://schemas.microsoft.com/office/spreadsheetml/2010/11/main" uri="{DE250136-89BD-433C-8126-D09CA5730AF9}">
        <x15:connection id="282de287-3fc1-4328-91c6-f9897cb92126"/>
      </ext>
    </extLst>
  </connection>
  <connection id="9" xr16:uid="{BF1DF529-00F5-4B8B-8BB7-427418B2643E}" keepAlive="1" name="Consulta - Egresos" description="Conexión a la consulta 'Egresos' en el libro." type="5" refreshedVersion="8" background="1" saveData="1">
    <dbPr connection="Provider=Microsoft.Mashup.OleDb.1;Data Source=$Workbook$;Location=Egresos;Extended Properties=&quot;&quot;" command="SELECT * FROM [Egresos]"/>
  </connection>
  <connection id="10" xr16:uid="{7B37E573-961F-43C8-AF6D-25744C1368AF}" keepAlive="1" name="Consulta - Gastos" description="Conexión a la consulta 'Gastos' en el libro." type="5" refreshedVersion="0" background="1">
    <dbPr connection="Provider=Microsoft.Mashup.OleDb.1;Data Source=$Workbook$;Location=Gastos;Extended Properties=&quot;&quot;" command="SELECT * FROM [Gastos]"/>
  </connection>
  <connection id="11" xr16:uid="{C6156184-6889-414F-8298-01D28FF1D342}" keepAlive="1" name="Consulta - Ingresos" description="Conexión a la consulta 'Ingresos' en el libro." type="5" refreshedVersion="0" background="1">
    <dbPr connection="Provider=Microsoft.Mashup.OleDb.1;Data Source=$Workbook$;Location=Ingresos;Extended Properties=&quot;&quot;" command="SELECT * FROM [Ingresos]"/>
  </connection>
  <connection id="12" xr16:uid="{00000000-0015-0000-FFFF-FFFF03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AC185523-B0CB-4DFE-935F-56E2D6F8249B}" name="WorksheetConnection_Planificador.xlsm!Modo" type="102" refreshedVersion="8" minRefreshableVersion="5">
    <extLst>
      <ext xmlns:x15="http://schemas.microsoft.com/office/spreadsheetml/2010/11/main" uri="{DE250136-89BD-433C-8126-D09CA5730AF9}">
        <x15:connection id="Modo">
          <x15:rangePr sourceName="_xlcn.WorksheetConnection_Planificador.xlsmModo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<sst xmlns="http://schemas.openxmlformats.org/spreadsheetml/2006/main" count="887" uniqueCount="408">
  <si>
    <t>Mensual</t>
  </si>
  <si>
    <t>Bimestral</t>
  </si>
  <si>
    <t>Trimestral</t>
  </si>
  <si>
    <t>Cuatrimestral</t>
  </si>
  <si>
    <t>Semestral</t>
  </si>
  <si>
    <t>Anual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</si>
  <si>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</si>
  <si>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</si>
  <si>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</si>
  <si>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</si>
  <si>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</si>
  <si>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</si>
  <si>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</si>
  <si>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</si>
  <si>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</si>
  <si>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</si>
  <si>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</si>
  <si>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</si>
  <si>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Secuencia</t>
  </si>
  <si>
    <t>Mes</t>
  </si>
  <si>
    <t>Valor</t>
  </si>
  <si>
    <t>Ingresos</t>
  </si>
  <si>
    <t>Costos</t>
  </si>
  <si>
    <t>Gastos</t>
  </si>
  <si>
    <t>Elementos</t>
  </si>
  <si>
    <t>Concepto</t>
  </si>
  <si>
    <t>Detalle</t>
  </si>
  <si>
    <t>Año</t>
  </si>
  <si>
    <t>Monto</t>
  </si>
  <si>
    <t>Comisiones por ventas</t>
  </si>
  <si>
    <t>Ventas de productos </t>
  </si>
  <si>
    <t>Ventas de servicios </t>
  </si>
  <si>
    <t>Salarios / Sueldos </t>
  </si>
  <si>
    <t>Bonos / Incentivos </t>
  </si>
  <si>
    <t>Primas </t>
  </si>
  <si>
    <t>Rentas cobradas </t>
  </si>
  <si>
    <t>Intereses ganados </t>
  </si>
  <si>
    <t>Dividendos </t>
  </si>
  <si>
    <t>Subvenciones / Ayudas </t>
  </si>
  <si>
    <t>Reembolsos </t>
  </si>
  <si>
    <t>Venta de activos </t>
  </si>
  <si>
    <t>Préstamos recibidos </t>
  </si>
  <si>
    <t>Egresos</t>
  </si>
  <si>
    <t>Ahorro</t>
  </si>
  <si>
    <t>Transporte</t>
  </si>
  <si>
    <t>Gasto personales</t>
  </si>
  <si>
    <t>Hogar</t>
  </si>
  <si>
    <t>Entretenimiento</t>
  </si>
  <si>
    <t>Protecciones personales</t>
  </si>
  <si>
    <t>Parafiscales / nomina</t>
  </si>
  <si>
    <t>Financieros</t>
  </si>
  <si>
    <t>Deuda</t>
  </si>
  <si>
    <t>Otros</t>
  </si>
  <si>
    <t>Educación</t>
  </si>
  <si>
    <t>Compra de materia prima </t>
  </si>
  <si>
    <t>Compra de mercancía </t>
  </si>
  <si>
    <t>Embalaje y empaques </t>
  </si>
  <si>
    <t>Flete de compras </t>
  </si>
  <si>
    <t>Mano de obra directa </t>
  </si>
  <si>
    <t>Comisiones pagadas </t>
  </si>
  <si>
    <t>Regalías </t>
  </si>
  <si>
    <t>Internet / Telefonía</t>
  </si>
  <si>
    <t>Papelería y útiles de oficina</t>
  </si>
  <si>
    <t>Alquiler / Arrendamiento </t>
  </si>
  <si>
    <t>Servicios públicos </t>
  </si>
  <si>
    <t>Salarios administrativos </t>
  </si>
  <si>
    <t>Seguros </t>
  </si>
  <si>
    <t>Impuestos </t>
  </si>
  <si>
    <t>Publicidad / Marketing </t>
  </si>
  <si>
    <t>Mantenimiento </t>
  </si>
  <si>
    <t>Suscripciones </t>
  </si>
  <si>
    <t>Viáticos / Transporte </t>
  </si>
  <si>
    <t>Comidas / Entretenimiento de negocios </t>
  </si>
  <si>
    <t>Gastos bancarios </t>
  </si>
  <si>
    <t>Honorarios profesionales </t>
  </si>
  <si>
    <t>Depreciación </t>
  </si>
  <si>
    <t>Ahorro Offshore</t>
  </si>
  <si>
    <t>Cartera Colectiva</t>
  </si>
  <si>
    <t>Cooperativas</t>
  </si>
  <si>
    <t>Cuenta AFC</t>
  </si>
  <si>
    <t>Cuenta Corriente</t>
  </si>
  <si>
    <t>Cuenta de Ahorros</t>
  </si>
  <si>
    <t>Fiducias</t>
  </si>
  <si>
    <t>Fondo de Empleados</t>
  </si>
  <si>
    <t>Fondos Mutuos</t>
  </si>
  <si>
    <t>Pensión Voluntaria</t>
  </si>
  <si>
    <t>Provisión Anualidades</t>
  </si>
  <si>
    <t>Bolsillos</t>
  </si>
  <si>
    <t>Subsidio de Transporte</t>
  </si>
  <si>
    <t>Subsidio Familiar</t>
  </si>
  <si>
    <t>Gasolina</t>
  </si>
  <si>
    <t>Parqueadero</t>
  </si>
  <si>
    <t>Taxis</t>
  </si>
  <si>
    <t>Transporte Empresa</t>
  </si>
  <si>
    <t>Transporte Escolar</t>
  </si>
  <si>
    <t>SITP / Transmilenio</t>
  </si>
  <si>
    <t>Uber</t>
  </si>
  <si>
    <t>DidI</t>
  </si>
  <si>
    <t>Almuerzos Diarios</t>
  </si>
  <si>
    <t xml:space="preserve">Celular </t>
  </si>
  <si>
    <t>Cuidado Personal</t>
  </si>
  <si>
    <t>Desayunos Diarios</t>
  </si>
  <si>
    <t>Gimnasio</t>
  </si>
  <si>
    <t>Ropa</t>
  </si>
  <si>
    <t>Administración</t>
  </si>
  <si>
    <t>Agua</t>
  </si>
  <si>
    <t>Arrendamiento</t>
  </si>
  <si>
    <t>Compras Casa</t>
  </si>
  <si>
    <t>Energía</t>
  </si>
  <si>
    <t>Gas</t>
  </si>
  <si>
    <t>Jardinero</t>
  </si>
  <si>
    <t>Lavandería</t>
  </si>
  <si>
    <t>Mercado</t>
  </si>
  <si>
    <t>Niñera</t>
  </si>
  <si>
    <t>Servicio Doméstico</t>
  </si>
  <si>
    <t>Teléfono</t>
  </si>
  <si>
    <t>TV por Cable</t>
  </si>
  <si>
    <t>Servicios Públicos - otros</t>
  </si>
  <si>
    <t>Suscripciones</t>
  </si>
  <si>
    <t>Cines</t>
  </si>
  <si>
    <t>Club</t>
  </si>
  <si>
    <t>Eventos Sociales</t>
  </si>
  <si>
    <t>Fines de Semana</t>
  </si>
  <si>
    <t>Golf</t>
  </si>
  <si>
    <t>Restaurantes</t>
  </si>
  <si>
    <t>Reuniones Sociales</t>
  </si>
  <si>
    <t>Rumba</t>
  </si>
  <si>
    <t>Salidas</t>
  </si>
  <si>
    <t>Subscripciones</t>
  </si>
  <si>
    <t>Tenis</t>
  </si>
  <si>
    <t>Vacaciones</t>
  </si>
  <si>
    <t>Viajes</t>
  </si>
  <si>
    <t>Aporte a Pensión Obligatoria</t>
  </si>
  <si>
    <t>Aporte a Salud Obligatoria</t>
  </si>
  <si>
    <t>Salud Prepagada</t>
  </si>
  <si>
    <t>Seguro de Contenidos</t>
  </si>
  <si>
    <t>Seguro de Invalidez</t>
  </si>
  <si>
    <t>Seguro de Responsabilidad Civil</t>
  </si>
  <si>
    <t>Seguro de Salud</t>
  </si>
  <si>
    <t>Seguro de Vehículo</t>
  </si>
  <si>
    <t>Seguro de Vida</t>
  </si>
  <si>
    <t>Seguro Exequial</t>
  </si>
  <si>
    <t>Seguro Vivienda</t>
  </si>
  <si>
    <t xml:space="preserve">Aporte a Fondo de Solidaridad </t>
  </si>
  <si>
    <t>Aporte a Fondo de Subsistencia</t>
  </si>
  <si>
    <t>Otros Descuentos</t>
  </si>
  <si>
    <t>Retención en la Fuente</t>
  </si>
  <si>
    <t>Salud</t>
  </si>
  <si>
    <t>Pension</t>
  </si>
  <si>
    <t>Bono Estudiantil</t>
  </si>
  <si>
    <t>Capacitaciones</t>
  </si>
  <si>
    <t>Cursos</t>
  </si>
  <si>
    <t>Idiomas</t>
  </si>
  <si>
    <t>Libros y Útiles</t>
  </si>
  <si>
    <t>Matricula Colegio</t>
  </si>
  <si>
    <t>Matricula Universidad</t>
  </si>
  <si>
    <t>Pensión Colegio</t>
  </si>
  <si>
    <t xml:space="preserve">Uniformes </t>
  </si>
  <si>
    <t>4 x Mil</t>
  </si>
  <si>
    <t>Comisiones por Administración</t>
  </si>
  <si>
    <t>Cuota de Manejo Tarjeta Debito</t>
  </si>
  <si>
    <t>Cuota Manejo Tarjeta de Crédito</t>
  </si>
  <si>
    <t>Ayuda a un Familiar</t>
  </si>
  <si>
    <t>Diezmo</t>
  </si>
  <si>
    <t>Donaciones</t>
  </si>
  <si>
    <t>Finca</t>
  </si>
  <si>
    <t xml:space="preserve">Otros </t>
  </si>
  <si>
    <t>Regalos</t>
  </si>
  <si>
    <t>Responsabilidad Social</t>
  </si>
  <si>
    <t xml:space="preserve">Soporte Padres </t>
  </si>
  <si>
    <t>Periocidad:</t>
  </si>
  <si>
    <t>Descripción</t>
  </si>
  <si>
    <t>ICETEX</t>
  </si>
  <si>
    <t>Fecha</t>
  </si>
  <si>
    <t>Tipo</t>
  </si>
  <si>
    <t>Impuesto a los tontos</t>
  </si>
  <si>
    <t>trabajo</t>
  </si>
  <si>
    <t>Renta</t>
  </si>
  <si>
    <t>Valor total</t>
  </si>
  <si>
    <t>Trabajitos</t>
  </si>
  <si>
    <t>trabajitos</t>
  </si>
  <si>
    <t>Graficas presupuestos</t>
  </si>
  <si>
    <t>Fecha:</t>
  </si>
  <si>
    <t>Video Juegos</t>
  </si>
  <si>
    <t>Nequi</t>
  </si>
  <si>
    <t>Acciones ecopetrol</t>
  </si>
  <si>
    <t>Llegada temprano</t>
  </si>
  <si>
    <t>Trabajo</t>
  </si>
  <si>
    <t>Cena</t>
  </si>
  <si>
    <t>Con el fondo verde menta #EFF8F3, usaría colores con suficiente contraste:</t>
  </si>
  <si>
    <t>Gráfica de pie — 3 esquemas</t>
  </si>
  <si>
    <t>Esquema</t>
  </si>
  <si>
    <t>Color 1</t>
  </si>
  <si>
    <t>Color 2</t>
  </si>
  <si>
    <t>Color 3</t>
  </si>
  <si>
    <t>Color 4</t>
  </si>
  <si>
    <t>#167D68</t>
  </si>
  <si>
    <t>#2F6690</t>
  </si>
  <si>
    <t>#E9A23B</t>
  </si>
  <si>
    <t>#D95D5D</t>
  </si>
  <si>
    <t>Natural</t>
  </si>
  <si>
    <t>#2D6A4F</t>
  </si>
  <si>
    <t>#74A57F</t>
  </si>
  <si>
    <t>#D4A373</t>
  </si>
  <si>
    <t>#6C757D</t>
  </si>
  <si>
    <t>Moderno</t>
  </si>
  <si>
    <t>#2563EB</t>
  </si>
  <si>
    <t>#14B8A6</t>
  </si>
  <si>
    <t>#F59E0B</t>
  </si>
  <si>
    <t>#8B5CF6</t>
  </si>
  <si>
    <t>Para pocas categorías, usa solo los primeros colores del esquema.</t>
  </si>
  <si>
    <t>Gráfica de líneas — 2 series</t>
  </si>
  <si>
    <t>Mes actual: #167D68 — verde intenso</t>
  </si>
  <si>
    <t>Mes anterior: #78909C — gris azulado</t>
  </si>
  <si>
    <t>Marcadores: del mismo color que cada línea</t>
  </si>
  <si>
    <t>Cuadrícula: #D7E4DD</t>
  </si>
  <si>
    <t>Así, el periodo actual recibe mayor atención.</t>
  </si>
  <si>
    <t>Encabezados</t>
  </si>
  <si>
    <t>Fondo principal: #245B4A</t>
  </si>
  <si>
    <t>Texto: #FFFFFF</t>
  </si>
  <si>
    <t>Encabezado secundario: #CFE8DC</t>
  </si>
  <si>
    <t>Texto secundario: #183C32</t>
  </si>
  <si>
    <t>Etiquetas y textos</t>
  </si>
  <si>
    <t>Texto principal: #24332D</t>
  </si>
  <si>
    <t>Texto secundario: #64736D</t>
  </si>
  <si>
    <t>Etiquetas sobre fondos claros: #183C32</t>
  </si>
  <si>
    <t>Etiquetas dentro de gráficas oscuras: #FFFFFF</t>
  </si>
  <si>
    <t>Bordes y divisores: #C8D9D0</t>
  </si>
  <si>
    <t>Colores para indicadores</t>
  </si>
  <si>
    <t>Ingresos/positivo: #168A68</t>
  </si>
  <si>
    <t>Egresos/negativo: #D9534F</t>
  </si>
  <si>
    <t>Advertencia: #E6A23C</t>
  </si>
  <si>
    <t>Información: #2F6690</t>
  </si>
  <si>
    <t>Esquema de colores Diario</t>
  </si>
  <si>
    <t>Últimos 10 movimientos</t>
  </si>
  <si>
    <t>Esquema de colores Proyectar</t>
  </si>
  <si>
    <r>
      <t>Con el fondo </t>
    </r>
    <r>
      <rPr>
        <sz val="8"/>
        <color rgb="FF424242"/>
        <rFont val="Aptos"/>
        <family val="2"/>
      </rPr>
      <t>Beige Cálido #F7F3EB</t>
    </r>
    <r>
      <rPr>
        <sz val="8"/>
        <color rgb="FF424242"/>
        <rFont val="Aptos"/>
        <family val="2"/>
      </rPr>
      <t>, te propongo este esquema de colores para que quede </t>
    </r>
    <r>
      <rPr>
        <sz val="8"/>
        <color rgb="FF424242"/>
        <rFont val="Aptos"/>
        <family val="2"/>
      </rPr>
      <t>profesional, limpio y con buen contraste</t>
    </r>
    <r>
      <rPr>
        <sz val="8"/>
        <color rgb="FF424242"/>
        <rFont val="Aptos"/>
        <family val="2"/>
      </rPr>
      <t>:</t>
    </r>
  </si>
  <si>
    <t>1) Gráfica de pie (3–4 categorías)</t>
  </si>
  <si>
    <t>Usa una paleta cálida y contrastada para que cada segmento se distinga bien:</t>
  </si>
  <si>
    <r>
      <t>Color 1: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#A65F3A</t>
    </r>
    <r>
      <rPr>
        <sz val="8"/>
        <color rgb="FF424242"/>
        <rFont val="Aptos"/>
        <family val="2"/>
      </rPr>
      <t> (terracota)</t>
    </r>
  </si>
  <si>
    <r>
      <t>Color 2: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#7C8A6A</t>
    </r>
    <r>
      <rPr>
        <sz val="8"/>
        <color rgb="FF424242"/>
        <rFont val="Aptos"/>
        <family val="2"/>
      </rPr>
      <t> (verde grisáceo)</t>
    </r>
  </si>
  <si>
    <r>
      <t>Color 3: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#D9A066</t>
    </r>
    <r>
      <rPr>
        <sz val="8"/>
        <color rgb="FF424242"/>
        <rFont val="Aptos"/>
        <family val="2"/>
      </rPr>
      <t> (ámbar suave)</t>
    </r>
  </si>
  <si>
    <r>
      <t>Color 4: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#6F8FA8</t>
    </r>
    <r>
      <rPr>
        <sz val="8"/>
        <color rgb="FF424242"/>
        <rFont val="Aptos"/>
        <family val="2"/>
      </rPr>
      <t> (azul pizarra)</t>
    </r>
  </si>
  <si>
    <r>
      <t>Si quieres una versión más “financiera”, puedes priorizar: </t>
    </r>
    <r>
      <rPr>
        <sz val="11"/>
        <color rgb="FF424242"/>
        <rFont val="Courier New"/>
        <family val="3"/>
      </rPr>
      <t>#A65F3A</t>
    </r>
    <r>
      <rPr>
        <sz val="8"/>
        <color rgb="FF424242"/>
        <rFont val="Aptos"/>
        <family val="2"/>
      </rPr>
      <t>, </t>
    </r>
    <r>
      <rPr>
        <sz val="11"/>
        <color rgb="FF424242"/>
        <rFont val="Courier New"/>
        <family val="3"/>
      </rPr>
      <t>#7C8A6A</t>
    </r>
    <r>
      <rPr>
        <sz val="8"/>
        <color rgb="FF424242"/>
        <rFont val="Aptos"/>
        <family val="2"/>
      </rPr>
      <t>, </t>
    </r>
    <r>
      <rPr>
        <sz val="11"/>
        <color rgb="FF424242"/>
        <rFont val="Courier New"/>
        <family val="3"/>
      </rPr>
      <t>#D9A066</t>
    </r>
    <r>
      <rPr>
        <sz val="8"/>
        <color rgb="FF424242"/>
        <rFont val="Aptos"/>
        <family val="2"/>
      </rPr>
      <t>, </t>
    </r>
    <r>
      <rPr>
        <sz val="11"/>
        <color rgb="FF424242"/>
        <rFont val="Courier New"/>
        <family val="3"/>
      </rPr>
      <t>#9B9B9B</t>
    </r>
    <r>
      <rPr>
        <sz val="8"/>
        <color rgb="FF424242"/>
        <rFont val="Aptos"/>
        <family val="2"/>
      </rPr>
      <t>.</t>
    </r>
  </si>
  <si>
    <t>2) Gráfica de línea (2 elementos)</t>
  </si>
  <si>
    <t>Para las dos series:</t>
  </si>
  <si>
    <r>
      <t>Serie principal (actual):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#6B8E7E</t>
    </r>
    <r>
      <rPr>
        <sz val="8"/>
        <color rgb="FF424242"/>
        <rFont val="Aptos"/>
        <family val="2"/>
      </rPr>
      <t> (verde suave)</t>
    </r>
  </si>
  <si>
    <r>
      <t>Serie secundaria (anterior):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#B7AFA3</t>
    </r>
    <r>
      <rPr>
        <sz val="8"/>
        <color rgb="FF424242"/>
        <rFont val="Aptos"/>
        <family val="2"/>
      </rPr>
      <t> (beige grisáceo)</t>
    </r>
  </si>
  <si>
    <r>
      <t>Líneas de cuadrícula: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#D9D3C7</t>
    </r>
  </si>
  <si>
    <r>
      <t>Marcadores:</t>
    </r>
    <r>
      <rPr>
        <sz val="8"/>
        <color rgb="FF424242"/>
        <rFont val="Aptos"/>
        <family val="2"/>
      </rPr>
      <t> mismos colores de cada línea</t>
    </r>
  </si>
  <si>
    <t>3) Encabezados</t>
  </si>
  <si>
    <r>
      <t>Fondo de encabezado principal: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#8F7A62</t>
    </r>
    <r>
      <rPr>
        <sz val="8"/>
        <color rgb="FF424242"/>
        <rFont val="Aptos"/>
        <family val="2"/>
      </rPr>
      <t> (marrón claro cálido)</t>
    </r>
  </si>
  <si>
    <r>
      <t>Texto de encabezado: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#FFFFFF</t>
    </r>
  </si>
  <si>
    <r>
      <t>Encabezado secundario / subtítulo: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#E6DFD6</t>
    </r>
  </si>
  <si>
    <r>
      <t>Texto secundario: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#4A4037</t>
    </r>
  </si>
  <si>
    <t>4) Etiquetas y textos</t>
  </si>
  <si>
    <r>
      <t>Texto principal: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#3E372F</t>
    </r>
  </si>
  <si>
    <r>
      <t>Texto secundario: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#6F685D</t>
    </r>
  </si>
  <si>
    <r>
      <t>Etiquetas sobre fondo claro: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#3E372F</t>
    </r>
  </si>
  <si>
    <r>
      <t>Etiquetas dentro de gráficas oscuras: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#FFFFFF</t>
    </r>
  </si>
  <si>
    <t>5) Indicadores</t>
  </si>
  <si>
    <r>
      <t>Positivo / Ingreso: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#6B8E7E</t>
    </r>
  </si>
  <si>
    <r>
      <t>Negativo / Egreso: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#A65F3A</t>
    </r>
  </si>
  <si>
    <r>
      <t>Advertencia: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#D9A066</t>
    </r>
  </si>
  <si>
    <r>
      <t>Información / neutro:</t>
    </r>
    <r>
      <rPr>
        <sz val="8"/>
        <color rgb="FF424242"/>
        <rFont val="Aptos"/>
        <family val="2"/>
      </rPr>
      <t> </t>
    </r>
    <r>
      <rPr>
        <sz val="11"/>
        <color rgb="FF424242"/>
        <rFont val="Courier New"/>
        <family val="3"/>
      </rPr>
      <t>#6F8FA8</t>
    </r>
  </si>
  <si>
    <t>6) Recomendación final</t>
  </si>
  <si>
    <r>
      <t>Si quieres un look </t>
    </r>
    <r>
      <rPr>
        <sz val="8"/>
        <color rgb="FF424242"/>
        <rFont val="Aptos"/>
        <family val="2"/>
      </rPr>
      <t>más ejecutivo y cálido</t>
    </r>
    <r>
      <rPr>
        <sz val="8"/>
        <color rgb="FF424242"/>
        <rFont val="Aptos"/>
        <family val="2"/>
      </rPr>
      <t> con el beige base, yo usaría esta combinación:</t>
    </r>
  </si>
  <si>
    <r>
      <t>Fondo base: </t>
    </r>
    <r>
      <rPr>
        <sz val="11"/>
        <color rgb="FF424242"/>
        <rFont val="Courier New"/>
        <family val="3"/>
      </rPr>
      <t>#F7F3EB</t>
    </r>
  </si>
  <si>
    <r>
      <t>Gráfica de pie: </t>
    </r>
    <r>
      <rPr>
        <sz val="11"/>
        <color rgb="FF424242"/>
        <rFont val="Courier New"/>
        <family val="3"/>
      </rPr>
      <t>#A65F3A</t>
    </r>
    <r>
      <rPr>
        <sz val="8"/>
        <color rgb="FF424242"/>
        <rFont val="Aptos"/>
        <family val="2"/>
      </rPr>
      <t>, </t>
    </r>
    <r>
      <rPr>
        <sz val="11"/>
        <color rgb="FF424242"/>
        <rFont val="Courier New"/>
        <family val="3"/>
      </rPr>
      <t>#7C8A6A</t>
    </r>
    <r>
      <rPr>
        <sz val="8"/>
        <color rgb="FF424242"/>
        <rFont val="Aptos"/>
        <family val="2"/>
      </rPr>
      <t>, </t>
    </r>
    <r>
      <rPr>
        <sz val="11"/>
        <color rgb="FF424242"/>
        <rFont val="Courier New"/>
        <family val="3"/>
      </rPr>
      <t>#D9A066</t>
    </r>
    <r>
      <rPr>
        <sz val="8"/>
        <color rgb="FF424242"/>
        <rFont val="Aptos"/>
        <family val="2"/>
      </rPr>
      <t>, </t>
    </r>
    <r>
      <rPr>
        <sz val="11"/>
        <color rgb="FF424242"/>
        <rFont val="Courier New"/>
        <family val="3"/>
      </rPr>
      <t>#6F8FA8</t>
    </r>
  </si>
  <si>
    <r>
      <t>Línea actual: </t>
    </r>
    <r>
      <rPr>
        <sz val="11"/>
        <color rgb="FF424242"/>
        <rFont val="Courier New"/>
        <family val="3"/>
      </rPr>
      <t>#6B8E7E</t>
    </r>
  </si>
  <si>
    <r>
      <t>Línea anterior: </t>
    </r>
    <r>
      <rPr>
        <sz val="11"/>
        <color rgb="FF424242"/>
        <rFont val="Courier New"/>
        <family val="3"/>
      </rPr>
      <t>#B7AFA3</t>
    </r>
  </si>
  <si>
    <r>
      <t>Encabezados: </t>
    </r>
    <r>
      <rPr>
        <sz val="11"/>
        <color rgb="FF424242"/>
        <rFont val="Courier New"/>
        <family val="3"/>
      </rPr>
      <t>#8F7A62</t>
    </r>
  </si>
  <si>
    <t>Financiero</t>
  </si>
  <si>
    <t>Ejecución</t>
  </si>
  <si>
    <t>Estado</t>
  </si>
  <si>
    <t>Presupuesto</t>
  </si>
  <si>
    <t>Opción 1</t>
  </si>
  <si>
    <t>Opción 2</t>
  </si>
  <si>
    <t>Opción 3</t>
  </si>
  <si>
    <t>Opción 4</t>
  </si>
  <si>
    <t>Opción 5</t>
  </si>
  <si>
    <t>5 opciones de fondo para dashboard</t>
  </si>
  <si>
    <t>Gris nube</t>
  </si>
  <si>
    <t>#F3F5F7</t>
  </si>
  <si>
    <t>Azul hielo</t>
  </si>
  <si>
    <t>#EEF4F8</t>
  </si>
  <si>
    <t>Verde salvia claro</t>
  </si>
  <si>
    <t>#EEF5F0</t>
  </si>
  <si>
    <t>Arena suave</t>
  </si>
  <si>
    <t>#F6F1E8</t>
  </si>
  <si>
    <t>Lavanda humo</t>
  </si>
  <si>
    <t>#F2F0F7</t>
  </si>
  <si>
    <t>Guía de color para dashboards — Azul hielo y Lavanda humo</t>
  </si>
  <si>
    <t>Opción 2 · Azul hielo · #EEF4F8</t>
  </si>
  <si>
    <t>Opción 5 · Lavanda humo · #F2F0F7</t>
  </si>
  <si>
    <t>Objeto</t>
  </si>
  <si>
    <t>Aplicación</t>
  </si>
  <si>
    <t>HEX</t>
  </si>
  <si>
    <t>Muestra</t>
  </si>
  <si>
    <t>Base</t>
  </si>
  <si>
    <t>Fondo del dashboard</t>
  </si>
  <si>
    <t>Formas</t>
  </si>
  <si>
    <t>Tarjetas / paneles</t>
  </si>
  <si>
    <t>#FFFFFF</t>
  </si>
  <si>
    <t>Forma destacada</t>
  </si>
  <si>
    <t>#D9E8F2</t>
  </si>
  <si>
    <t>Bordes y divisores</t>
  </si>
  <si>
    <t>#C8D8E4</t>
  </si>
  <si>
    <t>Líneas</t>
  </si>
  <si>
    <t>Serie principal</t>
  </si>
  <si>
    <t>#1F6F8B</t>
  </si>
  <si>
    <t>Serie secundaria</t>
  </si>
  <si>
    <t>#7E8E99</t>
  </si>
  <si>
    <t>Meta / referencia</t>
  </si>
  <si>
    <t>#D08C60</t>
  </si>
  <si>
    <t>Pie / torta</t>
  </si>
  <si>
    <t>Categoría 1</t>
  </si>
  <si>
    <t>Categoría 2</t>
  </si>
  <si>
    <t>#3A8D8F</t>
  </si>
  <si>
    <t>Categoría 3</t>
  </si>
  <si>
    <t>#7A6FA8</t>
  </si>
  <si>
    <t>Categoría 4</t>
  </si>
  <si>
    <t>Categoría 5</t>
  </si>
  <si>
    <t>#5B8E5A</t>
  </si>
  <si>
    <t>Barras</t>
  </si>
  <si>
    <t>#7FAFC4</t>
  </si>
  <si>
    <t>Comparación / resaltado</t>
  </si>
  <si>
    <t>Principal</t>
  </si>
  <si>
    <t>#1F4E78</t>
  </si>
  <si>
    <t>Secundario</t>
  </si>
  <si>
    <t>Textos</t>
  </si>
  <si>
    <t>Fuente principal</t>
  </si>
  <si>
    <t>#23333F</t>
  </si>
  <si>
    <t>Fuente secundaria</t>
  </si>
  <si>
    <t>#60717D</t>
  </si>
  <si>
    <t>Etiquetas</t>
  </si>
  <si>
    <t>Sobre fondo claro</t>
  </si>
  <si>
    <t>#304755</t>
  </si>
  <si>
    <t>Sobre fondo oscuro</t>
  </si>
  <si>
    <t>Indicadores</t>
  </si>
  <si>
    <t>Positivo / ingreso</t>
  </si>
  <si>
    <t>#238636</t>
  </si>
  <si>
    <t>Negativo / egreso</t>
  </si>
  <si>
    <t>#C44545</t>
  </si>
  <si>
    <t>Advertencia</t>
  </si>
  <si>
    <t>#D28A16</t>
  </si>
  <si>
    <t>Información</t>
  </si>
  <si>
    <t>#2878A5</t>
  </si>
  <si>
    <t>Neutro</t>
  </si>
  <si>
    <t>#6B7780</t>
  </si>
  <si>
    <t>#E2DDF0</t>
  </si>
  <si>
    <t>#D7D1E3</t>
  </si>
  <si>
    <t>#6D5BD0</t>
  </si>
  <si>
    <t>#8B8797</t>
  </si>
  <si>
    <t>#3E8E9E</t>
  </si>
  <si>
    <t>#B76E79</t>
  </si>
  <si>
    <t>#D59B37</t>
  </si>
  <si>
    <t>#5D8C6A</t>
  </si>
  <si>
    <t>#A99DDB</t>
  </si>
  <si>
    <t>#4B3F72</t>
  </si>
  <si>
    <t>#DED9EB</t>
  </si>
  <si>
    <t>#2F2A3A</t>
  </si>
  <si>
    <t>#6E6878</t>
  </si>
  <si>
    <t>#3D3748</t>
  </si>
  <si>
    <t>#2E7D55</t>
  </si>
  <si>
    <t>#B84855</t>
  </si>
  <si>
    <t>#C4861B</t>
  </si>
  <si>
    <t>#4F74B8</t>
  </si>
  <si>
    <t>#777184</t>
  </si>
  <si>
    <t>Dashboard de ejecución · actualización automática desde BD_Presupuesto y BD_Real.</t>
  </si>
  <si>
    <t>Gasto Personales</t>
  </si>
  <si>
    <t>Nombre:</t>
  </si>
  <si>
    <t>Modo:</t>
  </si>
  <si>
    <t>Salida presupuestada</t>
  </si>
  <si>
    <t>Salida Real</t>
  </si>
  <si>
    <t>Salidas Eje</t>
  </si>
  <si>
    <t>% Salida Eje</t>
  </si>
  <si>
    <t>Bajo Control</t>
  </si>
  <si>
    <t>Sin Presupuesto</t>
  </si>
  <si>
    <t>Sin Ejecutar</t>
  </si>
  <si>
    <t>Alerta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</si>
  <si>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</si>
  <si>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</si>
  <si>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</si>
  <si>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</si>
  <si>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</si>
  <si>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</si>
  <si>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</si>
  <si>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</si>
  <si>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</si>
  <si>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</si>
  <si>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</si>
  <si>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</si>
  <si>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Diario</t>
  </si>
  <si>
    <t>% de Ejecucion</t>
  </si>
  <si>
    <t>% de Ejecución</t>
  </si>
  <si>
    <t>Todo el año</t>
  </si>
  <si>
    <t>Hasta el mes actual</t>
  </si>
  <si>
    <t>Salida Presupuesto Anio</t>
  </si>
  <si>
    <t>Salida Real Anio</t>
  </si>
  <si>
    <t>Salida Eje Anio</t>
  </si>
  <si>
    <t>Salida %Eje Anio</t>
  </si>
  <si>
    <t>Etiquetas de fila</t>
  </si>
  <si>
    <t>Total general</t>
  </si>
  <si>
    <t>Mes Actual</t>
  </si>
  <si>
    <t>Mes Anterior</t>
  </si>
  <si>
    <t>Prueba</t>
  </si>
  <si>
    <t>Sobre Ejecutado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</si>
</sst>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7" formatCode="&quot;$&quot;\ #,##0.00;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\ #,##0"/>
    <numFmt numFmtId="165" formatCode="_-* #,##0_-;\-* #,##0_-;_-* &quot;-&quot;??_-;_-@_-"/>
    <numFmt numFmtId="166" formatCode="dd/mmm/yy"/>
    <numFmt numFmtId="167" formatCode="\$\ #,##0;\-\$\ #,##0;\$\ #,##0"/>
    <numFmt numFmtId="168" formatCode="0.00\ %;\-0.00\ %;0.00\ %"/>
  </numFmts>
  <fonts count="44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i/>
      <sz val="20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i/>
      <sz val="26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2"/>
      <name val="Aptos Narrow"/>
      <family val="2"/>
      <scheme val="minor"/>
    </font>
    <font>
      <i/>
      <sz val="20"/>
      <color theme="0"/>
      <name val="Aptos Narrow"/>
      <family val="2"/>
      <scheme val="minor"/>
    </font>
    <font>
      <b/>
      <i/>
      <sz val="18"/>
      <color rgb="FF183C32"/>
      <name val="Aptos Narrow"/>
      <family val="2"/>
      <scheme val="minor"/>
    </font>
    <font>
      <b/>
      <i/>
      <sz val="14"/>
      <color rgb="FF183C32"/>
      <name val="Aptos Narrow"/>
      <family val="2"/>
      <scheme val="minor"/>
    </font>
    <font>
      <b/>
      <i/>
      <sz val="16"/>
      <color rgb="FF183C32"/>
      <name val="Aptos Narrow"/>
      <family val="2"/>
      <scheme val="minor"/>
    </font>
    <font>
      <b/>
      <i/>
      <sz val="11"/>
      <color theme="0"/>
      <name val="Aptos Narrow"/>
      <family val="2"/>
      <scheme val="minor"/>
    </font>
    <font>
      <sz val="16"/>
      <name val="Aptos Narrow"/>
      <family val="2"/>
      <scheme val="minor"/>
    </font>
    <font>
      <b/>
      <i/>
      <sz val="14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8"/>
      <color theme="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b/>
      <i/>
      <sz val="20"/>
      <color theme="0"/>
      <name val="Aptos Narrow"/>
      <family val="2"/>
      <scheme val="minor"/>
    </font>
    <font>
      <sz val="8"/>
      <color rgb="FF424242"/>
      <name val="Aptos"/>
      <family val="2"/>
    </font>
    <font>
      <sz val="8"/>
      <color rgb="FF424242"/>
      <name val="Aptos"/>
      <family val="2"/>
    </font>
    <font>
      <sz val="11"/>
      <color rgb="FF424242"/>
      <name val="Aptos"/>
      <family val="2"/>
    </font>
    <font>
      <sz val="11"/>
      <color rgb="FF424242"/>
      <name val="Courier New"/>
      <family val="3"/>
    </font>
    <font>
      <sz val="10"/>
      <color rgb="FFFFFFFF"/>
      <name val="Aptos"/>
    </font>
    <font>
      <b/>
      <sz val="14"/>
      <color rgb="FFFFFFFF"/>
      <name val="Aptos Narrow"/>
      <family val="2"/>
      <scheme val="minor"/>
    </font>
    <font>
      <b/>
      <sz val="12"/>
      <color rgb="FF263238"/>
      <name val="Aptos Narrow"/>
      <family val="2"/>
      <scheme val="minor"/>
    </font>
    <font>
      <sz val="10"/>
      <color rgb="FF263238"/>
      <name val="Aptos"/>
    </font>
    <font>
      <b/>
      <sz val="10"/>
      <color rgb="FF263238"/>
      <name val="Aptos"/>
    </font>
    <font>
      <b/>
      <sz val="16"/>
      <color rgb="FF263238"/>
      <name val="Aptos"/>
    </font>
    <font>
      <b/>
      <sz val="12"/>
      <color rgb="FF263238"/>
      <name val="Aptos"/>
    </font>
    <font>
      <sz val="12"/>
      <color rgb="FF263238"/>
      <name val="Aptos"/>
    </font>
    <font>
      <sz val="10"/>
      <color rgb="FF000000"/>
      <name val="Aptos"/>
    </font>
    <font>
      <sz val="10"/>
      <color rgb="FFFFFFFF"/>
      <name val="Aptos"/>
      <family val="2"/>
    </font>
    <font>
      <sz val="10"/>
      <color rgb="FF263238"/>
      <name val="Aptos"/>
      <family val="2"/>
    </font>
  </fonts>
  <fills count="6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9A9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F8F3"/>
        <bgColor indexed="64"/>
      </patternFill>
    </fill>
    <fill>
      <patternFill patternType="solid">
        <fgColor rgb="FFF7F3EB"/>
        <bgColor indexed="64"/>
      </patternFill>
    </fill>
    <fill>
      <patternFill patternType="solid">
        <fgColor rgb="FF245B4A"/>
        <bgColor indexed="64"/>
      </patternFill>
    </fill>
    <fill>
      <patternFill patternType="solid">
        <fgColor rgb="FFCFE8DC"/>
        <bgColor indexed="64"/>
      </patternFill>
    </fill>
    <fill>
      <patternFill patternType="solid">
        <fgColor rgb="FF8F7A62"/>
        <bgColor indexed="64"/>
      </patternFill>
    </fill>
    <fill>
      <patternFill patternType="solid">
        <fgColor rgb="FFA656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F6690"/>
        <bgColor indexed="64"/>
      </patternFill>
    </fill>
    <fill>
      <patternFill patternType="solid">
        <fgColor rgb="FFEEF4F8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D9E8F2"/>
        <bgColor indexed="64"/>
      </patternFill>
    </fill>
    <fill>
      <patternFill patternType="solid">
        <fgColor rgb="FFC8D8E4"/>
        <bgColor indexed="64"/>
      </patternFill>
    </fill>
    <fill>
      <patternFill patternType="solid">
        <fgColor rgb="FF1F6F8B"/>
        <bgColor indexed="64"/>
      </patternFill>
    </fill>
    <fill>
      <patternFill patternType="solid">
        <fgColor rgb="FF7E8E99"/>
        <bgColor indexed="64"/>
      </patternFill>
    </fill>
    <fill>
      <patternFill patternType="solid">
        <fgColor rgb="FFD08C60"/>
        <bgColor indexed="64"/>
      </patternFill>
    </fill>
    <fill>
      <patternFill patternType="solid">
        <fgColor rgb="FF3A8D8F"/>
        <bgColor indexed="64"/>
      </patternFill>
    </fill>
    <fill>
      <patternFill patternType="solid">
        <fgColor rgb="FF7A6FA8"/>
        <bgColor indexed="64"/>
      </patternFill>
    </fill>
    <fill>
      <patternFill patternType="solid">
        <fgColor rgb="FF5B8E5A"/>
        <bgColor indexed="64"/>
      </patternFill>
    </fill>
    <fill>
      <patternFill patternType="solid">
        <fgColor rgb="FF7FAF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23333F"/>
        <bgColor indexed="64"/>
      </patternFill>
    </fill>
    <fill>
      <patternFill patternType="solid">
        <fgColor rgb="FF60717D"/>
        <bgColor indexed="64"/>
      </patternFill>
    </fill>
    <fill>
      <patternFill patternType="solid">
        <fgColor rgb="FF304755"/>
        <bgColor indexed="64"/>
      </patternFill>
    </fill>
    <fill>
      <patternFill patternType="solid">
        <fgColor rgb="FF238636"/>
        <bgColor indexed="64"/>
      </patternFill>
    </fill>
    <fill>
      <patternFill patternType="solid">
        <fgColor rgb="FFC44545"/>
        <bgColor indexed="64"/>
      </patternFill>
    </fill>
    <fill>
      <patternFill patternType="solid">
        <fgColor rgb="FFD28A16"/>
        <bgColor indexed="64"/>
      </patternFill>
    </fill>
    <fill>
      <patternFill patternType="solid">
        <fgColor rgb="FF2878A5"/>
        <bgColor indexed="64"/>
      </patternFill>
    </fill>
    <fill>
      <patternFill patternType="solid">
        <fgColor rgb="FF6B7780"/>
        <bgColor indexed="64"/>
      </patternFill>
    </fill>
    <fill>
      <patternFill patternType="solid">
        <fgColor rgb="FFE2DDF0"/>
        <bgColor indexed="64"/>
      </patternFill>
    </fill>
    <fill>
      <patternFill patternType="solid">
        <fgColor rgb="FFD7D1E3"/>
        <bgColor indexed="64"/>
      </patternFill>
    </fill>
    <fill>
      <patternFill patternType="solid">
        <fgColor rgb="FF6D5BD0"/>
        <bgColor indexed="64"/>
      </patternFill>
    </fill>
    <fill>
      <patternFill patternType="solid">
        <fgColor rgb="FF8B8797"/>
        <bgColor indexed="64"/>
      </patternFill>
    </fill>
    <fill>
      <patternFill patternType="solid">
        <fgColor rgb="FF3E8E9E"/>
        <bgColor indexed="64"/>
      </patternFill>
    </fill>
    <fill>
      <patternFill patternType="solid">
        <fgColor rgb="FFB76E79"/>
        <bgColor indexed="64"/>
      </patternFill>
    </fill>
    <fill>
      <patternFill patternType="solid">
        <fgColor rgb="FFD59B37"/>
        <bgColor indexed="64"/>
      </patternFill>
    </fill>
    <fill>
      <patternFill patternType="solid">
        <fgColor rgb="FF5D8C6A"/>
        <bgColor indexed="64"/>
      </patternFill>
    </fill>
    <fill>
      <patternFill patternType="solid">
        <fgColor rgb="FFA99DDB"/>
        <bgColor indexed="64"/>
      </patternFill>
    </fill>
    <fill>
      <patternFill patternType="solid">
        <fgColor rgb="FF4B3F72"/>
        <bgColor indexed="64"/>
      </patternFill>
    </fill>
    <fill>
      <patternFill patternType="solid">
        <fgColor rgb="FFDED9EB"/>
        <bgColor indexed="64"/>
      </patternFill>
    </fill>
    <fill>
      <patternFill patternType="solid">
        <fgColor rgb="FF2F2A3A"/>
        <bgColor indexed="64"/>
      </patternFill>
    </fill>
    <fill>
      <patternFill patternType="solid">
        <fgColor rgb="FF6E6878"/>
        <bgColor indexed="64"/>
      </patternFill>
    </fill>
    <fill>
      <patternFill patternType="solid">
        <fgColor rgb="FF3D3748"/>
        <bgColor indexed="64"/>
      </patternFill>
    </fill>
    <fill>
      <patternFill patternType="solid">
        <fgColor rgb="FF2E7D55"/>
        <bgColor indexed="64"/>
      </patternFill>
    </fill>
    <fill>
      <patternFill patternType="solid">
        <fgColor rgb="FFB84855"/>
        <bgColor indexed="64"/>
      </patternFill>
    </fill>
    <fill>
      <patternFill patternType="solid">
        <fgColor rgb="FFC4861B"/>
        <bgColor indexed="64"/>
      </patternFill>
    </fill>
    <fill>
      <patternFill patternType="solid">
        <fgColor rgb="FF4F74B8"/>
        <bgColor indexed="64"/>
      </patternFill>
    </fill>
    <fill>
      <patternFill patternType="solid">
        <fgColor rgb="FF777184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ACC2D3"/>
        <bgColor indexed="64"/>
      </patternFill>
    </fill>
    <fill>
      <patternFill patternType="solid">
        <fgColor rgb="FFC5BDEC"/>
        <bgColor indexed="64"/>
      </patternFill>
    </fill>
    <fill>
      <patternFill patternType="solid">
        <fgColor rgb="FFD5E0E9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E2DEF6"/>
        <bgColor indexed="64"/>
      </patternFill>
    </fill>
  </fills>
  <borders count="84">
    <border>
      <left/>
      <right/>
      <top/>
      <bottom/>
      <diagonal/>
    </border>
    <border>
      <left style="dashDotDot">
        <color theme="0"/>
      </left>
      <right style="dashDotDot">
        <color theme="0"/>
      </right>
      <top/>
      <bottom/>
      <diagonal/>
    </border>
    <border>
      <left/>
      <right style="dashDot">
        <color theme="0"/>
      </right>
      <top/>
      <bottom style="dashDot">
        <color theme="0"/>
      </bottom>
      <diagonal/>
    </border>
    <border>
      <left style="dashDot">
        <color theme="0"/>
      </left>
      <right/>
      <top/>
      <bottom style="dashDot">
        <color theme="0"/>
      </bottom>
      <diagonal/>
    </border>
    <border>
      <left style="thin">
        <color theme="1"/>
      </left>
      <right style="dashDot">
        <color theme="1"/>
      </right>
      <top style="dashDot">
        <color theme="0"/>
      </top>
      <bottom style="dashDot">
        <color theme="1"/>
      </bottom>
      <diagonal/>
    </border>
    <border>
      <left style="dashDot">
        <color theme="1"/>
      </left>
      <right style="thin">
        <color theme="1"/>
      </right>
      <top style="dashDot">
        <color theme="0"/>
      </top>
      <bottom style="dashDot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2F6690"/>
      </left>
      <right style="medium">
        <color rgb="FF2F6690"/>
      </right>
      <top style="medium">
        <color rgb="FF2F6690"/>
      </top>
      <bottom style="medium">
        <color rgb="FF2F6690"/>
      </bottom>
      <diagonal/>
    </border>
    <border>
      <left style="medium">
        <color rgb="FF2F6690"/>
      </left>
      <right style="thin">
        <color rgb="FF2F6690"/>
      </right>
      <top style="medium">
        <color rgb="FF2F6690"/>
      </top>
      <bottom style="medium">
        <color rgb="FF2F6690"/>
      </bottom>
      <diagonal/>
    </border>
    <border>
      <left style="thin">
        <color rgb="FF2F6690"/>
      </left>
      <right style="thin">
        <color rgb="FF2F6690"/>
      </right>
      <top style="medium">
        <color rgb="FF2F6690"/>
      </top>
      <bottom style="medium">
        <color rgb="FF2F6690"/>
      </bottom>
      <diagonal/>
    </border>
    <border>
      <left style="medium">
        <color rgb="FF2F6690"/>
      </left>
      <right style="thin">
        <color rgb="FF2F6690"/>
      </right>
      <top style="medium">
        <color rgb="FF2F6690"/>
      </top>
      <bottom style="thin">
        <color auto="1"/>
      </bottom>
      <diagonal/>
    </border>
    <border>
      <left style="thin">
        <color rgb="FF2F6690"/>
      </left>
      <right style="thin">
        <color rgb="FF2F6690"/>
      </right>
      <top style="medium">
        <color rgb="FF2F6690"/>
      </top>
      <bottom style="thin">
        <color auto="1"/>
      </bottom>
      <diagonal/>
    </border>
    <border>
      <left style="thin">
        <color rgb="FF2F6690"/>
      </left>
      <right style="medium">
        <color rgb="FF2F6690"/>
      </right>
      <top style="medium">
        <color rgb="FF2F6690"/>
      </top>
      <bottom style="thin">
        <color auto="1"/>
      </bottom>
      <diagonal/>
    </border>
    <border>
      <left style="medium">
        <color rgb="FF2F6690"/>
      </left>
      <right style="thin">
        <color rgb="FF2F6690"/>
      </right>
      <top style="thin">
        <color auto="1"/>
      </top>
      <bottom style="medium">
        <color rgb="FF2F6690"/>
      </bottom>
      <diagonal/>
    </border>
    <border>
      <left style="thin">
        <color rgb="FF2F6690"/>
      </left>
      <right style="thin">
        <color rgb="FF2F6690"/>
      </right>
      <top style="thin">
        <color auto="1"/>
      </top>
      <bottom style="medium">
        <color rgb="FF2F6690"/>
      </bottom>
      <diagonal/>
    </border>
    <border>
      <left style="thin">
        <color rgb="FF2F6690"/>
      </left>
      <right style="medium">
        <color rgb="FF2F6690"/>
      </right>
      <top style="thin">
        <color auto="1"/>
      </top>
      <bottom style="medium">
        <color rgb="FF2F6690"/>
      </bottom>
      <diagonal/>
    </border>
    <border>
      <left style="medium">
        <color rgb="FF245B4A"/>
      </left>
      <right style="thin">
        <color rgb="FF245B4A"/>
      </right>
      <top style="medium">
        <color rgb="FF245B4A"/>
      </top>
      <bottom style="medium">
        <color rgb="FF245B4A"/>
      </bottom>
      <diagonal/>
    </border>
    <border>
      <left style="thin">
        <color rgb="FF245B4A"/>
      </left>
      <right style="thin">
        <color rgb="FF245B4A"/>
      </right>
      <top style="medium">
        <color rgb="FF245B4A"/>
      </top>
      <bottom style="medium">
        <color rgb="FF245B4A"/>
      </bottom>
      <diagonal/>
    </border>
    <border>
      <left style="thin">
        <color rgb="FF245B4A"/>
      </left>
      <right style="medium">
        <color rgb="FF245B4A"/>
      </right>
      <top style="medium">
        <color rgb="FF245B4A"/>
      </top>
      <bottom style="medium">
        <color rgb="FF245B4A"/>
      </bottom>
      <diagonal/>
    </border>
    <border>
      <left style="medium">
        <color indexed="64"/>
      </left>
      <right style="thin">
        <color rgb="FF245B4A"/>
      </right>
      <top style="medium">
        <color rgb="FF245B4A"/>
      </top>
      <bottom/>
      <diagonal/>
    </border>
    <border>
      <left style="thin">
        <color rgb="FF245B4A"/>
      </left>
      <right style="thin">
        <color rgb="FF245B4A"/>
      </right>
      <top style="medium">
        <color rgb="FF245B4A"/>
      </top>
      <bottom/>
      <diagonal/>
    </border>
    <border>
      <left style="thin">
        <color rgb="FF245B4A"/>
      </left>
      <right style="medium">
        <color indexed="64"/>
      </right>
      <top style="medium">
        <color rgb="FF245B4A"/>
      </top>
      <bottom/>
      <diagonal/>
    </border>
    <border>
      <left style="thin">
        <color rgb="FFA20000"/>
      </left>
      <right style="thin">
        <color rgb="FFA20000"/>
      </right>
      <top style="medium">
        <color rgb="FFA20000"/>
      </top>
      <bottom/>
      <diagonal/>
    </border>
    <border>
      <left style="thin">
        <color rgb="FFA20000"/>
      </left>
      <right style="thin">
        <color rgb="FFA20000"/>
      </right>
      <top/>
      <bottom style="medium">
        <color rgb="FFA20000"/>
      </bottom>
      <diagonal/>
    </border>
    <border>
      <left/>
      <right/>
      <top/>
      <bottom style="medium">
        <color rgb="FFA20000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medium">
        <color rgb="FFA20000"/>
      </right>
      <top style="thin">
        <color auto="1"/>
      </top>
      <bottom/>
      <diagonal/>
    </border>
    <border>
      <left style="thin">
        <color auto="1"/>
      </left>
      <right style="medium">
        <color rgb="FFA20000"/>
      </right>
      <top style="thin">
        <color auto="1"/>
      </top>
      <bottom style="medium">
        <color rgb="FFA20000"/>
      </bottom>
      <diagonal/>
    </border>
    <border>
      <left/>
      <right style="medium">
        <color rgb="FFA2000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medium">
        <color rgb="FFA20000"/>
      </right>
      <top/>
      <bottom style="thin">
        <color auto="1"/>
      </bottom>
      <diagonal/>
    </border>
    <border>
      <left style="medium">
        <color rgb="FFA20000"/>
      </left>
      <right style="thin">
        <color auto="1"/>
      </right>
      <top/>
      <bottom style="thin">
        <color auto="1"/>
      </bottom>
      <diagonal/>
    </border>
    <border>
      <left style="medium">
        <color rgb="FFA20000"/>
      </left>
      <right style="thin">
        <color auto="1"/>
      </right>
      <top style="thin">
        <color auto="1"/>
      </top>
      <bottom style="medium">
        <color rgb="FFA20000"/>
      </bottom>
      <diagonal/>
    </border>
    <border>
      <left style="medium">
        <color rgb="FFA20000"/>
      </left>
      <right style="dashDotDot">
        <color theme="0"/>
      </right>
      <top/>
      <bottom/>
      <diagonal/>
    </border>
    <border>
      <left style="thin">
        <color auto="1"/>
      </left>
      <right style="mediumDashDot">
        <color rgb="FFA20000"/>
      </right>
      <top/>
      <bottom style="thin">
        <color auto="1"/>
      </bottom>
      <diagonal/>
    </border>
    <border>
      <left style="thin">
        <color auto="1"/>
      </left>
      <right style="mediumDashDot">
        <color rgb="FFA20000"/>
      </right>
      <top style="thin">
        <color auto="1"/>
      </top>
      <bottom style="medium">
        <color rgb="FFA20000"/>
      </bottom>
      <diagonal/>
    </border>
    <border>
      <left/>
      <right style="hair">
        <color auto="1"/>
      </right>
      <top style="medium">
        <color rgb="FFA20000"/>
      </top>
      <bottom/>
      <diagonal/>
    </border>
    <border>
      <left style="hair">
        <color auto="1"/>
      </left>
      <right style="medium">
        <color rgb="FFA20000"/>
      </right>
      <top style="medium">
        <color rgb="FFA20000"/>
      </top>
      <bottom/>
      <diagonal/>
    </border>
    <border>
      <left style="medium">
        <color rgb="FFA20000"/>
      </left>
      <right style="hair">
        <color auto="1"/>
      </right>
      <top style="medium">
        <color rgb="FFA20000"/>
      </top>
      <bottom/>
      <diagonal/>
    </border>
    <border>
      <left style="hair">
        <color auto="1"/>
      </left>
      <right style="hair">
        <color auto="1"/>
      </right>
      <top style="medium">
        <color rgb="FFA20000"/>
      </top>
      <bottom/>
      <diagonal/>
    </border>
    <border>
      <left style="hair">
        <color auto="1"/>
      </left>
      <right style="mediumDashDot">
        <color rgb="FFA20000"/>
      </right>
      <top style="medium">
        <color rgb="FFA20000"/>
      </top>
      <bottom/>
      <diagonal/>
    </border>
    <border>
      <left style="mediumDashDot">
        <color rgb="FFA20000"/>
      </left>
      <right style="hair">
        <color auto="1"/>
      </right>
      <top/>
      <bottom style="mediumDashDot">
        <color rgb="FFA20000"/>
      </bottom>
      <diagonal/>
    </border>
    <border>
      <left style="hair">
        <color auto="1"/>
      </left>
      <right style="medium">
        <color rgb="FFA20000"/>
      </right>
      <top/>
      <bottom style="mediumDashDot">
        <color rgb="FFA20000"/>
      </bottom>
      <diagonal/>
    </border>
    <border>
      <left style="mediumDashDot">
        <color rgb="FFA20000"/>
      </left>
      <right style="hair">
        <color auto="1"/>
      </right>
      <top style="mediumDashDot">
        <color rgb="FFA20000"/>
      </top>
      <bottom style="mediumDashDot">
        <color rgb="FFA20000"/>
      </bottom>
      <diagonal/>
    </border>
    <border>
      <left style="hair">
        <color auto="1"/>
      </left>
      <right/>
      <top style="mediumDashDot">
        <color rgb="FFA20000"/>
      </top>
      <bottom style="mediumDashDot">
        <color rgb="FFA20000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DashDot">
        <color rgb="FFA20000"/>
      </left>
      <right style="thin">
        <color auto="1"/>
      </right>
      <top style="mediumDashDot">
        <color rgb="FFA20000"/>
      </top>
      <bottom style="thin">
        <color auto="1"/>
      </bottom>
      <diagonal/>
    </border>
    <border>
      <left style="thin">
        <color auto="1"/>
      </left>
      <right style="medium">
        <color rgb="FFA20000"/>
      </right>
      <top style="mediumDashDot">
        <color rgb="FFA20000"/>
      </top>
      <bottom style="thin">
        <color auto="1"/>
      </bottom>
      <diagonal/>
    </border>
    <border>
      <left style="mediumDashDot">
        <color rgb="FFA20000"/>
      </left>
      <right style="thin">
        <color auto="1"/>
      </right>
      <top style="thin">
        <color auto="1"/>
      </top>
      <bottom style="medium">
        <color rgb="FFA20000"/>
      </bottom>
      <diagonal/>
    </border>
    <border>
      <left style="medium">
        <color rgb="FFA20000"/>
      </left>
      <right/>
      <top/>
      <bottom/>
      <diagonal/>
    </border>
    <border>
      <left style="medium">
        <color rgb="FFA20000"/>
      </left>
      <right/>
      <top style="medium">
        <color rgb="FFA20000"/>
      </top>
      <bottom/>
      <diagonal/>
    </border>
    <border>
      <left style="mediumDashDot">
        <color rgb="FFA20000"/>
      </left>
      <right style="medium">
        <color rgb="FFA20000"/>
      </right>
      <top style="medium">
        <color rgb="FFA20000"/>
      </top>
      <bottom/>
      <diagonal/>
    </border>
    <border>
      <left style="mediumDashDot">
        <color rgb="FFA20000"/>
      </left>
      <right style="medium">
        <color rgb="FFA20000"/>
      </right>
      <top/>
      <bottom style="medium">
        <color rgb="FFA20000"/>
      </bottom>
      <diagonal/>
    </border>
    <border>
      <left style="hair">
        <color auto="1"/>
      </left>
      <right style="mediumDashDot">
        <color rgb="FFA20000"/>
      </right>
      <top style="mediumDashDot">
        <color theme="0"/>
      </top>
      <bottom style="mediumDashDot">
        <color rgb="FFA20000"/>
      </bottom>
      <diagonal/>
    </border>
    <border>
      <left style="hair">
        <color auto="1"/>
      </left>
      <right style="hair">
        <color auto="1"/>
      </right>
      <top style="mediumDashDot">
        <color theme="0"/>
      </top>
      <bottom/>
      <diagonal/>
    </border>
    <border>
      <left style="hair">
        <color auto="1"/>
      </left>
      <right style="mediumDashDot">
        <color rgb="FFA20000"/>
      </right>
      <top style="mediumDashDot">
        <color theme="0"/>
      </top>
      <bottom/>
      <diagonal/>
    </border>
    <border>
      <left style="medium">
        <color rgb="FFA20000"/>
      </left>
      <right style="hair">
        <color auto="1"/>
      </right>
      <top style="mediumDashDot">
        <color theme="0"/>
      </top>
      <bottom/>
      <diagonal/>
    </border>
    <border>
      <left style="medium">
        <color rgb="FFA20000"/>
      </left>
      <right style="hair">
        <color auto="1"/>
      </right>
      <top style="mediumDashDot">
        <color theme="0"/>
      </top>
      <bottom style="thin">
        <color auto="1"/>
      </bottom>
      <diagonal/>
    </border>
    <border>
      <left style="hair">
        <color auto="1"/>
      </left>
      <right style="mediumDashDot">
        <color rgb="FFA20000"/>
      </right>
      <top style="mediumDashDot">
        <color theme="0"/>
      </top>
      <bottom style="thin">
        <color auto="1"/>
      </bottom>
      <diagonal/>
    </border>
    <border>
      <left style="medium">
        <color rgb="FFA20000"/>
      </left>
      <right style="hair">
        <color auto="1"/>
      </right>
      <top style="thin">
        <color auto="1"/>
      </top>
      <bottom style="mediumDashDot">
        <color theme="0"/>
      </bottom>
      <diagonal/>
    </border>
    <border>
      <left style="hair">
        <color auto="1"/>
      </left>
      <right style="mediumDashDot">
        <color rgb="FFA20000"/>
      </right>
      <top style="thin">
        <color auto="1"/>
      </top>
      <bottom style="mediumDashDot">
        <color theme="0"/>
      </bottom>
      <diagonal/>
    </border>
    <border>
      <left style="thin">
        <color rgb="FFA20000"/>
      </left>
      <right style="mediumDashDot">
        <color rgb="FFA20000"/>
      </right>
      <top style="medium">
        <color rgb="FFA20000"/>
      </top>
      <bottom/>
      <diagonal/>
    </border>
    <border>
      <left style="thin">
        <color rgb="FFA20000"/>
      </left>
      <right style="mediumDashDot">
        <color rgb="FFA20000"/>
      </right>
      <top/>
      <bottom style="medium">
        <color rgb="FFA20000"/>
      </bottom>
      <diagonal/>
    </border>
    <border>
      <left/>
      <right style="thin">
        <color rgb="FFA20000"/>
      </right>
      <top style="medium">
        <color rgb="FFA20000"/>
      </top>
      <bottom/>
      <diagonal/>
    </border>
    <border>
      <left/>
      <right style="thin">
        <color rgb="FFA20000"/>
      </right>
      <top/>
      <bottom style="medium">
        <color rgb="FFA20000"/>
      </bottom>
      <diagonal/>
    </border>
    <border>
      <left style="medium">
        <color rgb="FFA20000"/>
      </left>
      <right style="mediumDashDot">
        <color rgb="FFA20000"/>
      </right>
      <top style="medium">
        <color rgb="FFA20000"/>
      </top>
      <bottom/>
      <diagonal/>
    </border>
    <border>
      <left style="medium">
        <color rgb="FFA20000"/>
      </left>
      <right style="mediumDashDot">
        <color rgb="FFA20000"/>
      </right>
      <top/>
      <bottom style="medium">
        <color rgb="FFA20000"/>
      </bottom>
      <diagonal/>
    </border>
    <border>
      <left/>
      <right style="hair">
        <color auto="1"/>
      </right>
      <top style="mediumDashDot">
        <color theme="0"/>
      </top>
      <bottom/>
      <diagonal/>
    </border>
    <border>
      <left style="thin">
        <color rgb="FFCBD3D7"/>
      </left>
      <right style="thin">
        <color rgb="FFCBD3D7"/>
      </right>
      <top style="thin">
        <color rgb="FFCBD3D7"/>
      </top>
      <bottom style="thin">
        <color rgb="FFCBD3D7"/>
      </bottom>
      <diagonal/>
    </border>
    <border>
      <left/>
      <right/>
      <top/>
      <bottom style="thin">
        <color rgb="FFD7DEE3"/>
      </bottom>
      <diagonal/>
    </border>
    <border>
      <left style="thin">
        <color rgb="FFD7DEE3"/>
      </left>
      <right/>
      <top/>
      <bottom/>
      <diagonal/>
    </border>
    <border>
      <left style="thin">
        <color rgb="FFD7DEE3"/>
      </left>
      <right/>
      <top/>
      <bottom style="thin">
        <color rgb="FFD7DEE3"/>
      </bottom>
      <diagonal/>
    </border>
    <border>
      <left/>
      <right style="thin">
        <color rgb="FFD7DEE3"/>
      </right>
      <top/>
      <bottom/>
      <diagonal/>
    </border>
    <border>
      <left/>
      <right style="thin">
        <color rgb="FFD7DEE3"/>
      </right>
      <top/>
      <bottom style="thin">
        <color rgb="FFD7DEE3"/>
      </bottom>
      <diagonal/>
    </border>
    <border>
      <left style="thin">
        <color rgb="FFD7DEE3"/>
      </left>
      <right/>
      <top style="thin">
        <color rgb="FFD7DEE3"/>
      </top>
      <bottom style="medium">
        <color rgb="FF2F6690"/>
      </bottom>
      <diagonal/>
    </border>
    <border>
      <left/>
      <right/>
      <top style="thin">
        <color rgb="FFD7DEE3"/>
      </top>
      <bottom style="medium">
        <color rgb="FF2F6690"/>
      </bottom>
      <diagonal/>
    </border>
    <border>
      <left/>
      <right style="thin">
        <color rgb="FFD7DEE3"/>
      </right>
      <top style="thin">
        <color rgb="FFD7DEE3"/>
      </top>
      <bottom style="medium">
        <color rgb="FF2F6690"/>
      </bottom>
      <diagonal/>
    </border>
    <border>
      <left style="thin">
        <color rgb="FFD7DEE3"/>
      </left>
      <right/>
      <top style="thin">
        <color rgb="FFD7DEE3"/>
      </top>
      <bottom style="medium">
        <color rgb="FF6D5BD0"/>
      </bottom>
      <diagonal/>
    </border>
    <border>
      <left/>
      <right/>
      <top style="thin">
        <color rgb="FFD7DEE3"/>
      </top>
      <bottom style="medium">
        <color rgb="FF6D5BD0"/>
      </bottom>
      <diagonal/>
    </border>
    <border>
      <left/>
      <right style="thin">
        <color rgb="FFD7DEE3"/>
      </right>
      <top style="thin">
        <color rgb="FFD7DEE3"/>
      </top>
      <bottom style="medium">
        <color rgb="FF6D5BD0"/>
      </bottom>
      <diagonal/>
    </border>
  </borders>
  <cellStyleXfs count="3">
    <xf numFmtId="0" fontId="0" fillId="0" borderId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0" fontId="0" fillId="3" borderId="0" xfId="0" applyFill="1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6" fillId="9" borderId="0" xfId="0" applyFont="1" applyFill="1"/>
    <xf numFmtId="0" fontId="7" fillId="10" borderId="0" xfId="0" applyFont="1" applyFill="1"/>
    <xf numFmtId="0" fontId="0" fillId="11" borderId="0" xfId="0" applyFill="1"/>
    <xf numFmtId="7" fontId="0" fillId="0" borderId="0" xfId="0" applyNumberFormat="1" applyAlignment="1">
      <alignment horizontal="center"/>
    </xf>
    <xf numFmtId="0" fontId="8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165" fontId="0" fillId="0" borderId="0" xfId="1" applyNumberFormat="1" applyFont="1"/>
    <xf numFmtId="0" fontId="29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1"/>
    </xf>
    <xf numFmtId="0" fontId="0" fillId="60" borderId="0" xfId="0" applyFill="1"/>
    <xf numFmtId="0" fontId="35" fillId="60" borderId="72" xfId="0" applyFont="1" applyFill="1" applyBorder="1" applyAlignment="1">
      <alignment horizontal="center" vertical="center"/>
    </xf>
    <xf numFmtId="0" fontId="35" fillId="60" borderId="72" xfId="0" applyFont="1" applyFill="1" applyBorder="1" applyAlignment="1">
      <alignment vertical="center"/>
    </xf>
    <xf numFmtId="0" fontId="36" fillId="60" borderId="0" xfId="0" applyFont="1" applyFill="1"/>
    <xf numFmtId="0" fontId="40" fillId="60" borderId="0" xfId="0" applyFont="1" applyFill="1"/>
    <xf numFmtId="0" fontId="37" fillId="60" borderId="0" xfId="0" applyFont="1" applyFill="1" applyAlignment="1">
      <alignment horizontal="center"/>
    </xf>
    <xf numFmtId="0" fontId="37" fillId="63" borderId="78" xfId="0" applyFont="1" applyFill="1" applyBorder="1" applyAlignment="1">
      <alignment horizontal="center"/>
    </xf>
    <xf numFmtId="0" fontId="37" fillId="63" borderId="79" xfId="0" applyFont="1" applyFill="1" applyBorder="1" applyAlignment="1">
      <alignment horizontal="center"/>
    </xf>
    <xf numFmtId="0" fontId="37" fillId="63" borderId="80" xfId="0" applyFont="1" applyFill="1" applyBorder="1" applyAlignment="1">
      <alignment horizontal="center"/>
    </xf>
    <xf numFmtId="0" fontId="37" fillId="19" borderId="74" xfId="0" applyFont="1" applyFill="1" applyBorder="1"/>
    <xf numFmtId="0" fontId="36" fillId="19" borderId="0" xfId="0" applyFont="1" applyFill="1"/>
    <xf numFmtId="0" fontId="36" fillId="19" borderId="76" xfId="0" applyFont="1" applyFill="1" applyBorder="1" applyAlignment="1">
      <alignment horizontal="center"/>
    </xf>
    <xf numFmtId="0" fontId="37" fillId="64" borderId="74" xfId="0" applyFont="1" applyFill="1" applyBorder="1"/>
    <xf numFmtId="0" fontId="36" fillId="64" borderId="0" xfId="0" applyFont="1" applyFill="1"/>
    <xf numFmtId="0" fontId="36" fillId="64" borderId="76" xfId="0" applyFont="1" applyFill="1" applyBorder="1" applyAlignment="1">
      <alignment horizontal="center"/>
    </xf>
    <xf numFmtId="0" fontId="37" fillId="64" borderId="75" xfId="0" applyFont="1" applyFill="1" applyBorder="1"/>
    <xf numFmtId="0" fontId="36" fillId="64" borderId="73" xfId="0" applyFont="1" applyFill="1" applyBorder="1"/>
    <xf numFmtId="0" fontId="36" fillId="64" borderId="77" xfId="0" applyFont="1" applyFill="1" applyBorder="1" applyAlignment="1">
      <alignment horizontal="center"/>
    </xf>
    <xf numFmtId="0" fontId="37" fillId="65" borderId="81" xfId="0" applyFont="1" applyFill="1" applyBorder="1" applyAlignment="1">
      <alignment horizontal="center"/>
    </xf>
    <xf numFmtId="0" fontId="37" fillId="65" borderId="82" xfId="0" applyFont="1" applyFill="1" applyBorder="1" applyAlignment="1">
      <alignment horizontal="center"/>
    </xf>
    <xf numFmtId="0" fontId="37" fillId="65" borderId="83" xfId="0" applyFont="1" applyFill="1" applyBorder="1" applyAlignment="1">
      <alignment horizontal="center"/>
    </xf>
    <xf numFmtId="0" fontId="41" fillId="21" borderId="0" xfId="0" applyFont="1" applyFill="1"/>
    <xf numFmtId="0" fontId="41" fillId="19" borderId="0" xfId="0" applyFont="1" applyFill="1"/>
    <xf numFmtId="0" fontId="41" fillId="23" borderId="0" xfId="0" applyFont="1" applyFill="1"/>
    <xf numFmtId="0" fontId="41" fillId="24" borderId="0" xfId="0" applyFont="1" applyFill="1"/>
    <xf numFmtId="0" fontId="33" fillId="25" borderId="0" xfId="0" applyFont="1" applyFill="1"/>
    <xf numFmtId="0" fontId="41" fillId="26" borderId="0" xfId="0" applyFont="1" applyFill="1"/>
    <xf numFmtId="0" fontId="41" fillId="27" borderId="0" xfId="0" applyFont="1" applyFill="1"/>
    <xf numFmtId="0" fontId="33" fillId="20" borderId="0" xfId="0" applyFont="1" applyFill="1"/>
    <xf numFmtId="0" fontId="41" fillId="28" borderId="0" xfId="0" applyFont="1" applyFill="1"/>
    <xf numFmtId="0" fontId="41" fillId="29" borderId="0" xfId="0" applyFont="1" applyFill="1"/>
    <xf numFmtId="0" fontId="41" fillId="30" borderId="0" xfId="0" applyFont="1" applyFill="1"/>
    <xf numFmtId="0" fontId="41" fillId="31" borderId="0" xfId="0" applyFont="1" applyFill="1"/>
    <xf numFmtId="0" fontId="33" fillId="32" borderId="0" xfId="0" applyFont="1" applyFill="1"/>
    <xf numFmtId="0" fontId="33" fillId="33" borderId="0" xfId="0" applyFont="1" applyFill="1"/>
    <xf numFmtId="0" fontId="33" fillId="34" borderId="0" xfId="0" applyFont="1" applyFill="1"/>
    <xf numFmtId="0" fontId="33" fillId="35" borderId="0" xfId="0" applyFont="1" applyFill="1"/>
    <xf numFmtId="0" fontId="33" fillId="36" borderId="0" xfId="0" applyFont="1" applyFill="1"/>
    <xf numFmtId="0" fontId="33" fillId="37" borderId="0" xfId="0" applyFont="1" applyFill="1"/>
    <xf numFmtId="0" fontId="41" fillId="38" borderId="0" xfId="0" applyFont="1" applyFill="1"/>
    <xf numFmtId="0" fontId="33" fillId="39" borderId="0" xfId="0" applyFont="1" applyFill="1"/>
    <xf numFmtId="0" fontId="33" fillId="40" borderId="0" xfId="0" applyFont="1" applyFill="1"/>
    <xf numFmtId="0" fontId="41" fillId="22" borderId="0" xfId="0" applyFont="1" applyFill="1"/>
    <xf numFmtId="0" fontId="41" fillId="41" borderId="0" xfId="0" applyFont="1" applyFill="1"/>
    <xf numFmtId="0" fontId="41" fillId="42" borderId="0" xfId="0" applyFont="1" applyFill="1"/>
    <xf numFmtId="0" fontId="33" fillId="43" borderId="0" xfId="0" applyFont="1" applyFill="1"/>
    <xf numFmtId="0" fontId="41" fillId="44" borderId="0" xfId="0" applyFont="1" applyFill="1"/>
    <xf numFmtId="0" fontId="41" fillId="45" borderId="0" xfId="0" applyFont="1" applyFill="1"/>
    <xf numFmtId="0" fontId="41" fillId="46" borderId="0" xfId="0" applyFont="1" applyFill="1"/>
    <xf numFmtId="0" fontId="41" fillId="47" borderId="0" xfId="0" applyFont="1" applyFill="1"/>
    <xf numFmtId="0" fontId="41" fillId="48" borderId="0" xfId="0" applyFont="1" applyFill="1"/>
    <xf numFmtId="0" fontId="41" fillId="49" borderId="0" xfId="0" applyFont="1" applyFill="1"/>
    <xf numFmtId="0" fontId="33" fillId="50" borderId="0" xfId="0" applyFont="1" applyFill="1"/>
    <xf numFmtId="0" fontId="41" fillId="51" borderId="0" xfId="0" applyFont="1" applyFill="1"/>
    <xf numFmtId="0" fontId="33" fillId="52" borderId="0" xfId="0" applyFont="1" applyFill="1"/>
    <xf numFmtId="0" fontId="33" fillId="53" borderId="0" xfId="0" applyFont="1" applyFill="1"/>
    <xf numFmtId="0" fontId="33" fillId="54" borderId="0" xfId="0" applyFont="1" applyFill="1"/>
    <xf numFmtId="0" fontId="33" fillId="55" borderId="0" xfId="0" applyFont="1" applyFill="1"/>
    <xf numFmtId="0" fontId="33" fillId="56" borderId="0" xfId="0" applyFont="1" applyFill="1"/>
    <xf numFmtId="0" fontId="41" fillId="57" borderId="0" xfId="0" applyFont="1" applyFill="1"/>
    <xf numFmtId="0" fontId="33" fillId="58" borderId="0" xfId="0" applyFont="1" applyFill="1"/>
    <xf numFmtId="0" fontId="33" fillId="59" borderId="0" xfId="0" applyFont="1" applyFill="1"/>
    <xf numFmtId="167" fontId="0" fillId="0" borderId="0" xfId="0" applyNumberFormat="1"/>
    <xf numFmtId="0" fontId="22" fillId="0" borderId="0" xfId="0" applyFont="1"/>
    <xf numFmtId="0" fontId="43" fillId="19" borderId="76" xfId="0" applyFont="1" applyFill="1" applyBorder="1" applyAlignment="1">
      <alignment horizontal="center"/>
    </xf>
    <xf numFmtId="168" fontId="0" fillId="0" borderId="0" xfId="0" applyNumberFormat="1"/>
    <xf numFmtId="0" fontId="43" fillId="64" borderId="76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42" fillId="54" borderId="0" xfId="0" applyFont="1" applyFill="1"/>
    <xf numFmtId="0" fontId="0" fillId="0" borderId="0" xfId="0" applyAlignment="1">
      <alignment wrapText="1"/>
    </xf>
    <xf numFmtId="0" fontId="0" fillId="0" borderId="0" xfId="0" pivotButton="1"/>
    <xf numFmtId="0" fontId="0" fillId="14" borderId="0" xfId="0" applyFill="1" applyAlignment="1" applyProtection="1">
      <alignment horizontal="center"/>
      <protection locked="0"/>
    </xf>
    <xf numFmtId="0" fontId="0" fillId="14" borderId="0" xfId="0" applyFill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4" borderId="0" xfId="0" applyFill="1" applyAlignment="1" applyProtection="1">
      <alignment horizontal="center"/>
      <protection hidden="1"/>
    </xf>
    <xf numFmtId="164" fontId="0" fillId="14" borderId="0" xfId="0" applyNumberFormat="1" applyFill="1" applyAlignment="1" applyProtection="1">
      <alignment horizontal="center"/>
      <protection hidden="1"/>
    </xf>
    <xf numFmtId="0" fontId="0" fillId="14" borderId="0" xfId="0" applyFill="1" applyProtection="1">
      <protection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3" borderId="0" xfId="0" applyFill="1" applyProtection="1">
      <protection locked="0"/>
    </xf>
    <xf numFmtId="0" fontId="13" fillId="13" borderId="0" xfId="0" applyFont="1" applyFill="1" applyProtection="1">
      <protection locked="0"/>
    </xf>
    <xf numFmtId="14" fontId="0" fillId="13" borderId="0" xfId="0" applyNumberFormat="1" applyFill="1" applyProtection="1">
      <protection locked="0"/>
    </xf>
    <xf numFmtId="0" fontId="11" fillId="13" borderId="0" xfId="0" applyFont="1" applyFill="1" applyAlignment="1" applyProtection="1">
      <alignment horizontal="center" vertical="center" textRotation="45"/>
      <protection hidden="1"/>
    </xf>
    <xf numFmtId="0" fontId="17" fillId="16" borderId="22" xfId="0" applyFont="1" applyFill="1" applyBorder="1" applyAlignment="1" applyProtection="1">
      <alignment horizontal="center" vertical="center"/>
      <protection hidden="1"/>
    </xf>
    <xf numFmtId="0" fontId="0" fillId="14" borderId="0" xfId="0" applyFill="1" applyProtection="1">
      <protection locked="0"/>
    </xf>
    <xf numFmtId="0" fontId="1" fillId="14" borderId="0" xfId="0" applyFont="1" applyFill="1" applyAlignment="1" applyProtection="1">
      <alignment horizont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10" fillId="17" borderId="2" xfId="0" applyFont="1" applyFill="1" applyBorder="1" applyAlignment="1" applyProtection="1">
      <alignment horizontal="center" vertical="center"/>
      <protection locked="0"/>
    </xf>
    <xf numFmtId="0" fontId="10" fillId="17" borderId="3" xfId="0" applyFont="1" applyFill="1" applyBorder="1" applyAlignment="1" applyProtection="1">
      <alignment horizontal="center" vertical="center"/>
      <protection locked="0"/>
    </xf>
    <xf numFmtId="164" fontId="0" fillId="14" borderId="4" xfId="0" applyNumberFormat="1" applyFill="1" applyBorder="1" applyAlignment="1" applyProtection="1">
      <alignment horizontal="center" vertical="center"/>
      <protection locked="0"/>
    </xf>
    <xf numFmtId="0" fontId="0" fillId="14" borderId="2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4" borderId="27" xfId="0" applyFill="1" applyBorder="1" applyProtection="1">
      <protection locked="0"/>
    </xf>
    <xf numFmtId="0" fontId="0" fillId="14" borderId="31" xfId="0" applyFill="1" applyBorder="1" applyProtection="1">
      <protection locked="0"/>
    </xf>
    <xf numFmtId="0" fontId="0" fillId="14" borderId="53" xfId="0" applyFill="1" applyBorder="1" applyAlignment="1" applyProtection="1">
      <alignment horizontal="center"/>
      <protection locked="0"/>
    </xf>
    <xf numFmtId="0" fontId="0" fillId="14" borderId="36" xfId="0" applyFill="1" applyBorder="1" applyAlignment="1" applyProtection="1">
      <alignment horizontal="center"/>
      <protection locked="0"/>
    </xf>
    <xf numFmtId="165" fontId="0" fillId="14" borderId="0" xfId="1" applyNumberFormat="1" applyFont="1" applyFill="1" applyAlignment="1" applyProtection="1">
      <alignment horizontal="center"/>
      <protection locked="0"/>
    </xf>
    <xf numFmtId="0" fontId="0" fillId="14" borderId="54" xfId="0" applyFill="1" applyBorder="1" applyProtection="1">
      <protection locked="0"/>
    </xf>
    <xf numFmtId="0" fontId="0" fillId="14" borderId="0" xfId="0" applyFill="1" applyAlignment="1" applyProtection="1">
      <alignment horizontal="left"/>
      <protection locked="0"/>
    </xf>
    <xf numFmtId="0" fontId="1" fillId="14" borderId="0" xfId="0" applyFont="1" applyFill="1" applyAlignment="1" applyProtection="1">
      <alignment horizontal="center"/>
      <protection hidden="1"/>
    </xf>
    <xf numFmtId="0" fontId="1" fillId="14" borderId="0" xfId="0" applyFont="1" applyFill="1" applyProtection="1">
      <protection hidden="1"/>
    </xf>
    <xf numFmtId="0" fontId="11" fillId="14" borderId="1" xfId="0" applyFont="1" applyFill="1" applyBorder="1" applyAlignment="1" applyProtection="1">
      <alignment horizontal="center" vertical="center" textRotation="45"/>
      <protection hidden="1"/>
    </xf>
    <xf numFmtId="0" fontId="19" fillId="17" borderId="0" xfId="0" applyFont="1" applyFill="1" applyAlignment="1" applyProtection="1">
      <alignment horizontal="center"/>
      <protection hidden="1"/>
    </xf>
    <xf numFmtId="164" fontId="0" fillId="14" borderId="5" xfId="0" applyNumberFormat="1" applyFill="1" applyBorder="1" applyAlignment="1" applyProtection="1">
      <alignment horizontal="center" vertical="center"/>
      <protection hidden="1"/>
    </xf>
    <xf numFmtId="0" fontId="12" fillId="14" borderId="0" xfId="0" applyFont="1" applyFill="1" applyProtection="1">
      <protection hidden="1"/>
    </xf>
    <xf numFmtId="165" fontId="0" fillId="14" borderId="0" xfId="1" applyNumberFormat="1" applyFon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0" fillId="13" borderId="0" xfId="0" applyFill="1" applyProtection="1">
      <protection hidden="1"/>
    </xf>
    <xf numFmtId="165" fontId="0" fillId="13" borderId="0" xfId="1" applyNumberFormat="1" applyFont="1" applyFill="1" applyAlignment="1" applyProtection="1">
      <alignment horizontal="center"/>
      <protection hidden="1"/>
    </xf>
    <xf numFmtId="0" fontId="17" fillId="16" borderId="23" xfId="0" applyFont="1" applyFill="1" applyBorder="1" applyAlignment="1" applyProtection="1">
      <alignment horizontal="center" vertical="center"/>
      <protection hidden="1"/>
    </xf>
    <xf numFmtId="0" fontId="17" fillId="16" borderId="24" xfId="0" applyFont="1" applyFill="1" applyBorder="1" applyAlignment="1" applyProtection="1">
      <alignment horizontal="center" vertical="center"/>
      <protection hidden="1"/>
    </xf>
    <xf numFmtId="166" fontId="11" fillId="13" borderId="0" xfId="0" applyNumberFormat="1" applyFont="1" applyFill="1" applyAlignment="1" applyProtection="1">
      <alignment horizontal="center"/>
      <protection hidden="1"/>
    </xf>
    <xf numFmtId="0" fontId="13" fillId="13" borderId="0" xfId="0" applyFont="1" applyFill="1" applyProtection="1">
      <protection hidden="1"/>
    </xf>
    <xf numFmtId="164" fontId="11" fillId="13" borderId="0" xfId="2" applyNumberFormat="1" applyFont="1" applyFill="1" applyAlignment="1" applyProtection="1">
      <alignment horizontal="center"/>
      <protection hidden="1"/>
    </xf>
    <xf numFmtId="166" fontId="12" fillId="13" borderId="0" xfId="0" applyNumberFormat="1" applyFont="1" applyFill="1" applyAlignment="1" applyProtection="1">
      <alignment horizontal="center"/>
      <protection hidden="1"/>
    </xf>
    <xf numFmtId="164" fontId="12" fillId="13" borderId="0" xfId="2" applyNumberFormat="1" applyFont="1" applyFill="1" applyAlignment="1" applyProtection="1">
      <alignment horizontal="center"/>
      <protection hidden="1"/>
    </xf>
    <xf numFmtId="0" fontId="12" fillId="13" borderId="0" xfId="0" applyFont="1" applyFill="1" applyProtection="1">
      <protection hidden="1"/>
    </xf>
    <xf numFmtId="0" fontId="23" fillId="18" borderId="34" xfId="0" applyFont="1" applyFill="1" applyBorder="1" applyAlignment="1" applyProtection="1">
      <alignment horizontal="center" vertical="center"/>
      <protection locked="0"/>
    </xf>
    <xf numFmtId="0" fontId="23" fillId="18" borderId="37" xfId="0" applyFont="1" applyFill="1" applyBorder="1" applyAlignment="1" applyProtection="1">
      <alignment horizontal="center" vertical="center"/>
      <protection locked="0"/>
    </xf>
    <xf numFmtId="0" fontId="23" fillId="18" borderId="35" xfId="0" applyFont="1" applyFill="1" applyBorder="1" applyAlignment="1" applyProtection="1">
      <alignment horizontal="center" vertical="center"/>
      <protection locked="0"/>
    </xf>
    <xf numFmtId="0" fontId="23" fillId="18" borderId="38" xfId="0" applyFont="1" applyFill="1" applyBorder="1" applyAlignment="1" applyProtection="1">
      <alignment horizontal="center" vertical="center"/>
      <protection locked="0"/>
    </xf>
    <xf numFmtId="164" fontId="26" fillId="14" borderId="50" xfId="0" applyNumberFormat="1" applyFont="1" applyFill="1" applyBorder="1" applyAlignment="1" applyProtection="1">
      <alignment horizontal="center" vertical="center"/>
      <protection locked="0"/>
    </xf>
    <xf numFmtId="164" fontId="26" fillId="14" borderId="51" xfId="0" applyNumberFormat="1" applyFont="1" applyFill="1" applyBorder="1" applyAlignment="1" applyProtection="1">
      <alignment horizontal="center" vertical="center"/>
      <protection locked="0"/>
    </xf>
    <xf numFmtId="164" fontId="26" fillId="14" borderId="52" xfId="0" applyNumberFormat="1" applyFont="1" applyFill="1" applyBorder="1" applyAlignment="1" applyProtection="1">
      <alignment horizontal="center" vertical="center"/>
      <protection locked="0"/>
    </xf>
    <xf numFmtId="164" fontId="26" fillId="14" borderId="30" xfId="0" applyNumberFormat="1" applyFont="1" applyFill="1" applyBorder="1" applyAlignment="1" applyProtection="1">
      <alignment horizontal="center" vertical="center"/>
      <protection locked="0"/>
    </xf>
    <xf numFmtId="0" fontId="25" fillId="14" borderId="39" xfId="0" applyFont="1" applyFill="1" applyBorder="1" applyAlignment="1" applyProtection="1">
      <alignment horizontal="center"/>
      <protection locked="0"/>
    </xf>
    <xf numFmtId="0" fontId="25" fillId="14" borderId="40" xfId="0" applyFont="1" applyFill="1" applyBorder="1" applyAlignment="1" applyProtection="1">
      <alignment horizontal="center"/>
      <protection locked="0"/>
    </xf>
    <xf numFmtId="0" fontId="5" fillId="14" borderId="67" xfId="0" applyFont="1" applyFill="1" applyBorder="1" applyAlignment="1" applyProtection="1">
      <alignment horizontal="center" vertical="center"/>
      <protection locked="0"/>
    </xf>
    <xf numFmtId="0" fontId="5" fillId="14" borderId="25" xfId="0" applyFont="1" applyFill="1" applyBorder="1" applyAlignment="1" applyProtection="1">
      <alignment horizontal="center" vertical="center"/>
      <protection locked="0"/>
    </xf>
    <xf numFmtId="0" fontId="5" fillId="14" borderId="65" xfId="0" applyFont="1" applyFill="1" applyBorder="1" applyAlignment="1" applyProtection="1">
      <alignment horizontal="center" vertical="center"/>
      <protection locked="0"/>
    </xf>
    <xf numFmtId="0" fontId="5" fillId="14" borderId="68" xfId="0" applyFont="1" applyFill="1" applyBorder="1" applyAlignment="1" applyProtection="1">
      <alignment horizontal="center" vertical="center"/>
      <protection locked="0"/>
    </xf>
    <xf numFmtId="0" fontId="5" fillId="14" borderId="26" xfId="0" applyFont="1" applyFill="1" applyBorder="1" applyAlignment="1" applyProtection="1">
      <alignment horizontal="center" vertical="center"/>
      <protection locked="0"/>
    </xf>
    <xf numFmtId="0" fontId="5" fillId="14" borderId="66" xfId="0" applyFont="1" applyFill="1" applyBorder="1" applyAlignment="1" applyProtection="1">
      <alignment horizontal="center" vertical="center"/>
      <protection locked="0"/>
    </xf>
    <xf numFmtId="0" fontId="5" fillId="12" borderId="55" xfId="0" applyFont="1" applyFill="1" applyBorder="1" applyAlignment="1" applyProtection="1">
      <alignment horizontal="center" vertical="center"/>
      <protection locked="0"/>
    </xf>
    <xf numFmtId="0" fontId="5" fillId="12" borderId="56" xfId="0" applyFont="1" applyFill="1" applyBorder="1" applyAlignment="1" applyProtection="1">
      <alignment horizontal="center" vertical="center"/>
      <protection locked="0"/>
    </xf>
    <xf numFmtId="0" fontId="28" fillId="18" borderId="69" xfId="0" applyFont="1" applyFill="1" applyBorder="1" applyAlignment="1" applyProtection="1">
      <alignment horizontal="left" vertical="center"/>
      <protection locked="0"/>
    </xf>
    <xf numFmtId="0" fontId="28" fillId="18" borderId="70" xfId="0" applyFont="1" applyFill="1" applyBorder="1" applyAlignment="1" applyProtection="1">
      <alignment horizontal="left" vertical="center"/>
      <protection locked="0"/>
    </xf>
    <xf numFmtId="0" fontId="1" fillId="14" borderId="27" xfId="0" applyFont="1" applyFill="1" applyBorder="1" applyAlignment="1" applyProtection="1">
      <alignment horizontal="center"/>
      <protection hidden="1"/>
    </xf>
    <xf numFmtId="0" fontId="24" fillId="18" borderId="41" xfId="0" applyFont="1" applyFill="1" applyBorder="1" applyAlignment="1" applyProtection="1">
      <alignment horizontal="center"/>
      <protection locked="0"/>
    </xf>
    <xf numFmtId="0" fontId="24" fillId="18" borderId="42" xfId="0" applyFont="1" applyFill="1" applyBorder="1" applyAlignment="1" applyProtection="1">
      <alignment horizontal="center"/>
      <protection locked="0"/>
    </xf>
    <xf numFmtId="0" fontId="24" fillId="18" borderId="43" xfId="0" applyFont="1" applyFill="1" applyBorder="1" applyAlignment="1" applyProtection="1">
      <alignment horizontal="center"/>
      <protection locked="0"/>
    </xf>
    <xf numFmtId="0" fontId="24" fillId="18" borderId="71" xfId="0" applyFont="1" applyFill="1" applyBorder="1" applyAlignment="1" applyProtection="1">
      <alignment horizontal="center"/>
      <protection locked="0"/>
    </xf>
    <xf numFmtId="0" fontId="24" fillId="18" borderId="58" xfId="0" applyFont="1" applyFill="1" applyBorder="1" applyAlignment="1" applyProtection="1">
      <alignment horizontal="center"/>
      <protection locked="0"/>
    </xf>
    <xf numFmtId="0" fontId="24" fillId="18" borderId="59" xfId="0" applyFont="1" applyFill="1" applyBorder="1" applyAlignment="1" applyProtection="1">
      <alignment horizontal="center"/>
      <protection locked="0"/>
    </xf>
    <xf numFmtId="0" fontId="23" fillId="18" borderId="60" xfId="0" applyFont="1" applyFill="1" applyBorder="1" applyAlignment="1" applyProtection="1">
      <alignment horizontal="center" vertical="center"/>
      <protection locked="0"/>
    </xf>
    <xf numFmtId="0" fontId="23" fillId="18" borderId="58" xfId="0" applyFont="1" applyFill="1" applyBorder="1" applyAlignment="1" applyProtection="1">
      <alignment horizontal="center" vertical="center"/>
      <protection locked="0"/>
    </xf>
    <xf numFmtId="0" fontId="23" fillId="18" borderId="57" xfId="0" applyFont="1" applyFill="1" applyBorder="1" applyAlignment="1" applyProtection="1">
      <alignment horizontal="center" vertical="center"/>
      <protection locked="0"/>
    </xf>
    <xf numFmtId="0" fontId="23" fillId="18" borderId="61" xfId="0" applyFont="1" applyFill="1" applyBorder="1" applyAlignment="1" applyProtection="1">
      <alignment horizontal="center" vertical="center"/>
      <protection locked="0"/>
    </xf>
    <xf numFmtId="0" fontId="23" fillId="18" borderId="62" xfId="0" applyFont="1" applyFill="1" applyBorder="1" applyAlignment="1" applyProtection="1">
      <alignment horizontal="center" vertical="center"/>
      <protection locked="0"/>
    </xf>
    <xf numFmtId="0" fontId="23" fillId="18" borderId="63" xfId="0" applyFont="1" applyFill="1" applyBorder="1" applyAlignment="1" applyProtection="1">
      <alignment horizontal="center" vertical="center"/>
      <protection locked="0"/>
    </xf>
    <xf numFmtId="0" fontId="23" fillId="18" borderId="64" xfId="0" applyFont="1" applyFill="1" applyBorder="1" applyAlignment="1" applyProtection="1">
      <alignment horizontal="center" vertical="center"/>
      <protection locked="0"/>
    </xf>
    <xf numFmtId="0" fontId="4" fillId="14" borderId="46" xfId="0" applyFont="1" applyFill="1" applyBorder="1" applyAlignment="1" applyProtection="1">
      <alignment horizontal="center"/>
      <protection locked="0"/>
    </xf>
    <xf numFmtId="0" fontId="4" fillId="14" borderId="47" xfId="0" applyFont="1" applyFill="1" applyBorder="1" applyAlignment="1" applyProtection="1">
      <alignment horizontal="center"/>
      <protection locked="0"/>
    </xf>
    <xf numFmtId="0" fontId="27" fillId="14" borderId="44" xfId="0" applyFont="1" applyFill="1" applyBorder="1" applyAlignment="1" applyProtection="1">
      <alignment horizontal="center" vertical="center" wrapText="1"/>
      <protection locked="0"/>
    </xf>
    <xf numFmtId="0" fontId="27" fillId="14" borderId="45" xfId="0" applyFont="1" applyFill="1" applyBorder="1" applyAlignment="1" applyProtection="1">
      <alignment horizontal="center" vertical="center" wrapText="1"/>
      <protection locked="0"/>
    </xf>
    <xf numFmtId="0" fontId="4" fillId="14" borderId="32" xfId="0" applyFont="1" applyFill="1" applyBorder="1" applyAlignment="1" applyProtection="1">
      <alignment horizontal="center" vertical="center"/>
      <protection locked="0"/>
    </xf>
    <xf numFmtId="0" fontId="4" fillId="14" borderId="28" xfId="0" applyFont="1" applyFill="1" applyBorder="1" applyAlignment="1" applyProtection="1">
      <alignment horizontal="center" vertical="center"/>
      <protection locked="0"/>
    </xf>
    <xf numFmtId="0" fontId="4" fillId="14" borderId="33" xfId="0" applyFont="1" applyFill="1" applyBorder="1" applyAlignment="1" applyProtection="1">
      <alignment horizontal="center" vertical="center"/>
      <protection locked="0"/>
    </xf>
    <xf numFmtId="0" fontId="4" fillId="14" borderId="48" xfId="0" applyFont="1" applyFill="1" applyBorder="1" applyAlignment="1" applyProtection="1">
      <alignment horizontal="center" vertical="center"/>
      <protection locked="0"/>
    </xf>
    <xf numFmtId="0" fontId="4" fillId="14" borderId="49" xfId="0" applyFont="1" applyFill="1" applyBorder="1" applyAlignment="1" applyProtection="1">
      <alignment horizontal="center" vertical="center"/>
      <protection locked="0"/>
    </xf>
    <xf numFmtId="0" fontId="4" fillId="14" borderId="29" xfId="0" applyFont="1" applyFill="1" applyBorder="1" applyAlignment="1" applyProtection="1">
      <alignment horizontal="center" vertical="center"/>
      <protection locked="0"/>
    </xf>
    <xf numFmtId="0" fontId="10" fillId="15" borderId="19" xfId="0" applyFont="1" applyFill="1" applyBorder="1" applyAlignment="1" applyProtection="1">
      <alignment horizontal="center"/>
      <protection locked="0"/>
    </xf>
    <xf numFmtId="0" fontId="10" fillId="15" borderId="20" xfId="0" applyFont="1" applyFill="1" applyBorder="1" applyAlignment="1" applyProtection="1">
      <alignment horizontal="center"/>
      <protection locked="0"/>
    </xf>
    <xf numFmtId="0" fontId="10" fillId="15" borderId="21" xfId="0" applyFont="1" applyFill="1" applyBorder="1" applyAlignment="1" applyProtection="1">
      <alignment horizontal="center"/>
      <protection locked="0"/>
    </xf>
    <xf numFmtId="0" fontId="16" fillId="16" borderId="13" xfId="0" applyFont="1" applyFill="1" applyBorder="1" applyAlignment="1" applyProtection="1">
      <alignment horizontal="center" vertical="center"/>
      <protection locked="0"/>
    </xf>
    <xf numFmtId="0" fontId="16" fillId="16" borderId="14" xfId="0" applyFont="1" applyFill="1" applyBorder="1" applyAlignment="1" applyProtection="1">
      <alignment horizontal="center" vertical="center"/>
      <protection locked="0"/>
    </xf>
    <xf numFmtId="0" fontId="16" fillId="16" borderId="16" xfId="0" applyFont="1" applyFill="1" applyBorder="1" applyAlignment="1" applyProtection="1">
      <alignment horizontal="center" vertical="center"/>
      <protection locked="0"/>
    </xf>
    <xf numFmtId="0" fontId="16" fillId="16" borderId="17" xfId="0" applyFont="1" applyFill="1" applyBorder="1" applyAlignment="1" applyProtection="1">
      <alignment horizontal="center" vertical="center"/>
      <protection locked="0"/>
    </xf>
    <xf numFmtId="0" fontId="21" fillId="12" borderId="14" xfId="0" applyFont="1" applyFill="1" applyBorder="1" applyAlignment="1" applyProtection="1">
      <alignment horizontal="center" vertical="center"/>
      <protection locked="0"/>
    </xf>
    <xf numFmtId="0" fontId="21" fillId="12" borderId="15" xfId="0" applyFont="1" applyFill="1" applyBorder="1" applyAlignment="1" applyProtection="1">
      <alignment horizontal="center" vertical="center"/>
      <protection locked="0"/>
    </xf>
    <xf numFmtId="0" fontId="21" fillId="12" borderId="17" xfId="0" applyFont="1" applyFill="1" applyBorder="1" applyAlignment="1" applyProtection="1">
      <alignment horizontal="center" vertical="center"/>
      <protection locked="0"/>
    </xf>
    <xf numFmtId="0" fontId="21" fillId="12" borderId="18" xfId="0" applyFont="1" applyFill="1" applyBorder="1" applyAlignment="1" applyProtection="1">
      <alignment horizontal="center" vertical="center"/>
      <protection locked="0"/>
    </xf>
    <xf numFmtId="164" fontId="20" fillId="12" borderId="14" xfId="0" applyNumberFormat="1" applyFont="1" applyFill="1" applyBorder="1" applyAlignment="1" applyProtection="1">
      <alignment horizontal="center" vertical="center"/>
      <protection locked="0"/>
    </xf>
    <xf numFmtId="164" fontId="20" fillId="12" borderId="15" xfId="0" applyNumberFormat="1" applyFont="1" applyFill="1" applyBorder="1" applyAlignment="1" applyProtection="1">
      <alignment horizontal="center" vertical="center"/>
      <protection locked="0"/>
    </xf>
    <xf numFmtId="164" fontId="20" fillId="12" borderId="17" xfId="0" applyNumberFormat="1" applyFont="1" applyFill="1" applyBorder="1" applyAlignment="1" applyProtection="1">
      <alignment horizontal="center" vertical="center"/>
      <protection locked="0"/>
    </xf>
    <xf numFmtId="164" fontId="20" fillId="12" borderId="18" xfId="0" applyNumberFormat="1" applyFont="1" applyFill="1" applyBorder="1" applyAlignment="1" applyProtection="1">
      <alignment horizontal="center" vertical="center"/>
      <protection locked="0"/>
    </xf>
    <xf numFmtId="0" fontId="15" fillId="15" borderId="6" xfId="0" applyFont="1" applyFill="1" applyBorder="1" applyAlignment="1" applyProtection="1">
      <alignment horizontal="left" vertical="center"/>
      <protection locked="0"/>
    </xf>
    <xf numFmtId="0" fontId="15" fillId="15" borderId="8" xfId="0" applyFont="1" applyFill="1" applyBorder="1" applyAlignment="1" applyProtection="1">
      <alignment horizontal="left" vertical="center"/>
      <protection locked="0"/>
    </xf>
    <xf numFmtId="15" fontId="15" fillId="15" borderId="7" xfId="0" applyNumberFormat="1" applyFont="1" applyFill="1" applyBorder="1" applyAlignment="1" applyProtection="1">
      <alignment horizontal="center" vertical="center"/>
      <protection locked="0"/>
    </xf>
    <xf numFmtId="15" fontId="15" fillId="15" borderId="9" xfId="0" applyNumberFormat="1" applyFont="1" applyFill="1" applyBorder="1" applyAlignment="1" applyProtection="1">
      <alignment horizontal="center" vertical="center"/>
      <protection locked="0"/>
    </xf>
    <xf numFmtId="0" fontId="18" fillId="16" borderId="11" xfId="0" applyFont="1" applyFill="1" applyBorder="1" applyAlignment="1" applyProtection="1">
      <alignment horizontal="center"/>
      <protection locked="0"/>
    </xf>
    <xf numFmtId="0" fontId="18" fillId="16" borderId="12" xfId="0" applyFont="1" applyFill="1" applyBorder="1" applyAlignment="1" applyProtection="1">
      <alignment horizontal="center"/>
      <protection locked="0"/>
    </xf>
    <xf numFmtId="0" fontId="14" fillId="12" borderId="12" xfId="0" applyFont="1" applyFill="1" applyBorder="1" applyAlignment="1" applyProtection="1">
      <alignment horizontal="center"/>
      <protection locked="0"/>
    </xf>
    <xf numFmtId="0" fontId="14" fillId="12" borderId="10" xfId="0" applyFont="1" applyFill="1" applyBorder="1" applyAlignment="1" applyProtection="1">
      <alignment horizontal="center"/>
      <protection locked="0"/>
    </xf>
    <xf numFmtId="0" fontId="16" fillId="16" borderId="11" xfId="0" applyFont="1" applyFill="1" applyBorder="1" applyAlignment="1" applyProtection="1">
      <alignment horizontal="center" vertical="center"/>
      <protection locked="0"/>
    </xf>
    <xf numFmtId="0" fontId="16" fillId="16" borderId="12" xfId="0" applyFont="1" applyFill="1" applyBorder="1" applyAlignment="1" applyProtection="1">
      <alignment horizontal="center" vertical="center"/>
      <protection locked="0"/>
    </xf>
    <xf numFmtId="0" fontId="14" fillId="12" borderId="12" xfId="0" applyFont="1" applyFill="1" applyBorder="1" applyAlignment="1" applyProtection="1">
      <alignment horizontal="center" vertical="center" wrapText="1"/>
      <protection locked="0"/>
    </xf>
    <xf numFmtId="0" fontId="14" fillId="12" borderId="10" xfId="0" applyFont="1" applyFill="1" applyBorder="1" applyAlignment="1" applyProtection="1">
      <alignment horizontal="center" vertical="center" wrapText="1"/>
      <protection locked="0"/>
    </xf>
    <xf numFmtId="0" fontId="34" fillId="60" borderId="0" xfId="0" applyFont="1" applyFill="1" applyAlignment="1">
      <alignment horizontal="center" vertical="center"/>
    </xf>
    <xf numFmtId="0" fontId="38" fillId="60" borderId="0" xfId="0" applyFont="1" applyFill="1"/>
    <xf numFmtId="0" fontId="39" fillId="61" borderId="0" xfId="0" applyFont="1" applyFill="1"/>
    <xf numFmtId="0" fontId="39" fillId="62" borderId="0" xfId="0" applyFont="1" applyFill="1"/>
    <xf numFmtId="0" fontId="1" fillId="0" borderId="0" xfId="0" applyFont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80">
    <dxf>
      <numFmt numFmtId="164" formatCode="&quot;$&quot;\ 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0" formatCode="d\-mmm\-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3399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Aptos Narrow"/>
        <family val="2"/>
        <scheme val="minor"/>
      </font>
      <fill>
        <patternFill patternType="solid">
          <fgColor indexed="64"/>
          <bgColor rgb="FF808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0099"/>
        </patternFill>
      </fill>
    </dxf>
    <dxf>
      <fill>
        <patternFill patternType="solid">
          <fgColor indexed="64"/>
          <bgColor rgb="FFFFFF99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rgb="FFFE9A9A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font>
        <b/>
        <i val="0"/>
        <color theme="4" tint="-0.24994659260841701"/>
      </font>
      <fill>
        <patternFill>
          <bgColor rgb="FFFFF2CC"/>
        </patternFill>
      </fill>
    </dxf>
    <dxf>
      <font>
        <b/>
        <i/>
        <color rgb="FFFF3737"/>
      </font>
    </dxf>
    <dxf>
      <font>
        <b/>
        <i val="0"/>
        <color rgb="FFFF3737"/>
      </font>
    </dxf>
    <dxf>
      <font>
        <b/>
        <i val="0"/>
        <color rgb="FFFF3737"/>
      </font>
      <fill>
        <patternFill>
          <bgColor rgb="FFB1AABE"/>
        </patternFill>
      </fill>
    </dxf>
    <dxf>
      <font>
        <b/>
        <i val="0"/>
        <color auto="1"/>
      </font>
      <fill>
        <patternFill>
          <bgColor rgb="FFE6E60C"/>
        </patternFill>
      </fill>
    </dxf>
    <dxf>
      <font>
        <b/>
        <i val="0"/>
        <color auto="1"/>
      </font>
      <fill>
        <patternFill>
          <bgColor rgb="FF54C5F2"/>
        </patternFill>
      </fill>
    </dxf>
    <dxf>
      <font>
        <b/>
        <i val="0"/>
        <color rgb="FFC00000"/>
      </font>
      <fill>
        <patternFill>
          <bgColor rgb="FFFFC9C9"/>
        </patternFill>
      </fill>
    </dxf>
    <dxf>
      <font>
        <b/>
        <i val="0"/>
        <color rgb="FF2E7D55"/>
      </font>
      <fill>
        <patternFill>
          <bgColor rgb="FFDEF6E3"/>
        </patternFill>
      </fill>
    </dxf>
    <dxf>
      <fill>
        <patternFill>
          <bgColor rgb="FFF7F8EC"/>
        </patternFill>
      </fill>
      <border>
        <left style="thin">
          <color rgb="FF2F6690"/>
        </left>
        <right style="thin">
          <color rgb="FF2F6690"/>
        </right>
        <top style="thin">
          <color rgb="FF2F6690"/>
        </top>
        <bottom style="thin">
          <color rgb="FF2F6690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fgColor auto="1"/>
          <bgColor rgb="FF245B4A"/>
        </patternFill>
      </fill>
      <border>
        <left style="dashDot">
          <color theme="0"/>
        </left>
        <right style="dashDot">
          <color theme="0"/>
        </right>
        <bottom style="hair">
          <color auto="1"/>
        </bottom>
        <vertical/>
        <horizontal/>
      </border>
    </dxf>
    <dxf>
      <fill>
        <patternFill>
          <bgColor rgb="FFB5C7C7"/>
        </patternFill>
      </fill>
    </dxf>
    <dxf>
      <border>
        <top style="dotted">
          <color auto="1"/>
        </top>
        <bottom style="dotted">
          <color auto="1"/>
        </bottom>
        <vertical/>
        <horizontal/>
      </border>
    </dxf>
    <dxf>
      <font>
        <b/>
        <i val="0"/>
        <color rgb="FFFF000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8F7A62"/>
        </patternFill>
      </fill>
    </dxf>
    <dxf>
      <font>
        <color theme="0"/>
      </font>
      <fill>
        <patternFill>
          <bgColor rgb="FF8F7A62"/>
        </patternFill>
      </fill>
    </dxf>
    <dxf>
      <font>
        <b/>
        <i val="0"/>
        <color theme="0"/>
      </font>
      <fill>
        <patternFill>
          <fgColor auto="1"/>
          <bgColor rgb="FF98504A"/>
        </patternFill>
      </fill>
      <border>
        <left style="dashDot">
          <color theme="0"/>
        </left>
        <right style="dashDot">
          <color theme="0"/>
        </right>
        <bottom style="hair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border>
        <top style="dotted">
          <color auto="1"/>
        </top>
        <bottom style="dotted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sz val="11"/>
        <color theme="0"/>
      </font>
      <fill>
        <patternFill>
          <bgColor rgb="FF3D3748"/>
        </patternFill>
      </fill>
      <border>
        <vertical/>
        <horizontal/>
      </border>
    </dxf>
    <dxf>
      <font>
        <color theme="1"/>
      </font>
      <fill>
        <patternFill>
          <bgColor rgb="FFD7D1E3"/>
        </patternFill>
      </fill>
      <border>
        <left style="thin">
          <color rgb="FF3D3748"/>
        </left>
        <right style="thin">
          <color rgb="FF3D3748"/>
        </right>
        <top style="thin">
          <color rgb="FF3D3748"/>
        </top>
        <bottom style="thin">
          <color rgb="FF3D3748"/>
        </bottom>
        <vertical/>
        <horizontal/>
      </border>
    </dxf>
    <dxf>
      <border>
        <top style="thin">
          <color theme="9" tint="0.79998168889431442"/>
        </top>
        <bottom style="thin">
          <color theme="9" tint="0.79998168889431442"/>
        </bottom>
      </border>
    </dxf>
    <dxf>
      <border>
        <top style="thin">
          <color theme="9" tint="0.79998168889431442"/>
        </top>
        <bottom style="thin">
          <color theme="9" tint="0.79998168889431442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bottom style="thin">
          <color theme="9"/>
        </bottom>
      </border>
    </dxf>
    <dxf>
      <font>
        <color auto="1"/>
      </font>
      <fill>
        <patternFill patternType="solid">
          <fgColor theme="9" tint="0.39994506668294322"/>
          <bgColor rgb="FFDED9EB"/>
        </patternFill>
      </fill>
      <border>
        <bottom style="thin">
          <color theme="9" tint="0.79998168889431442"/>
        </bottom>
        <horizontal style="thin">
          <color rgb="FFE2DDF0"/>
        </horizontal>
      </border>
    </dxf>
    <dxf>
      <border>
        <bottom style="thin">
          <color rgb="FFDFD3DD"/>
        </bottom>
      </border>
    </dxf>
    <dxf>
      <font>
        <b/>
        <color theme="1"/>
      </font>
      <fill>
        <patternFill patternType="solid">
          <fgColor theme="0" tint="-0.14996795556505021"/>
          <bgColor rgb="FFDFD3DD"/>
        </patternFill>
      </fill>
    </dxf>
    <dxf>
      <font>
        <color auto="1"/>
      </font>
      <fill>
        <patternFill patternType="solid">
          <fgColor theme="9" tint="0.39994506668294322"/>
          <bgColor rgb="FFDED9EB"/>
        </patternFill>
      </fill>
    </dxf>
    <dxf>
      <font>
        <b/>
        <color theme="0"/>
      </font>
    </dxf>
    <dxf>
      <border>
        <left style="thin">
          <color theme="9" tint="-0.249977111117893"/>
        </left>
        <right style="thin">
          <color theme="9" tint="-0.249977111117893"/>
        </right>
      </border>
    </dxf>
    <dxf>
      <border>
        <top style="thin">
          <color theme="9" tint="-0.249977111117893"/>
        </top>
        <bottom style="thin">
          <color theme="9" tint="-0.249977111117893"/>
        </bottom>
        <horizontal style="thin">
          <color theme="9" tint="-0.249977111117893"/>
        </horizontal>
      </border>
    </dxf>
    <dxf>
      <font>
        <b/>
        <i val="0"/>
      </font>
    </dxf>
    <dxf>
      <font>
        <b/>
        <color theme="1"/>
      </font>
      <border>
        <top style="double">
          <color rgb="FF4B3F72"/>
        </top>
      </border>
    </dxf>
    <dxf>
      <font>
        <b/>
        <i val="0"/>
        <color theme="0"/>
      </font>
      <fill>
        <patternFill patternType="solid">
          <fgColor theme="9" tint="-0.249977111117893"/>
          <bgColor rgb="FF4B3F72"/>
        </patternFill>
      </fill>
      <border>
        <horizontal style="thin">
          <color rgb="FF4B3F72"/>
        </horizontal>
      </border>
    </dxf>
    <dxf>
      <font>
        <color theme="1"/>
      </font>
      <fill>
        <patternFill>
          <bgColor rgb="FFF2F0F7"/>
        </patternFill>
      </fill>
      <border>
        <left style="thin">
          <color rgb="FF2F2A3A"/>
        </left>
        <right style="thin">
          <color rgb="FF2F2A3A"/>
        </right>
        <top style="thin">
          <color rgb="FF2F2A3A"/>
        </top>
        <bottom style="thin">
          <color rgb="FF2F2A3A"/>
        </bottom>
        <horizontal style="thin">
          <color rgb="FFB1AABE"/>
        </horizontal>
      </border>
    </dxf>
    <dxf>
      <font>
        <color rgb="FFDED9EB"/>
      </font>
      <fill>
        <patternFill>
          <bgColor rgb="FF3D3748"/>
        </patternFill>
      </fill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D7D1E3"/>
        </patternFill>
      </fill>
      <border>
        <left style="thin">
          <color rgb="FF3D3748"/>
        </left>
        <right style="thin">
          <color rgb="FF3D3748"/>
        </right>
        <top style="thin">
          <color rgb="FF3D3748"/>
        </top>
        <bottom style="thin">
          <color rgb="FF3D3748"/>
        </bottom>
        <vertical/>
        <horizontal/>
      </border>
    </dxf>
  </dxfs>
  <tableStyles count="3" defaultTableStyle="TableStyleMedium2" defaultPivotStyle="PivotStyleLight16">
    <tableStyle name="Ejecu" pivot="0" table="0" count="10" xr9:uid="{055C812F-A9C5-4409-9EFB-35E2DE5A137C}">
      <tableStyleElement type="wholeTable" dxfId="79"/>
      <tableStyleElement type="headerRow" dxfId="78"/>
    </tableStyle>
    <tableStyle name="PivotStyleMedium7 2 2" table="0" count="14" xr9:uid="{09EED55E-921F-47CA-908B-185E41DA1827}">
      <tableStyleElement type="wholeTable" dxfId="77"/>
      <tableStyleElement type="headerRow" dxfId="76"/>
      <tableStyleElement type="totalRow" dxfId="75"/>
      <tableStyleElement type="firstColumn" dxfId="74"/>
      <tableStyleElement type="firstRowStripe" dxfId="73"/>
      <tableStyleElement type="firstColumnStripe" dxfId="72"/>
      <tableStyleElement type="firstHeaderCell" dxfId="71"/>
      <tableStyleElement type="firstSubtotalRow" dxfId="70"/>
      <tableStyleElement type="secondSubtotalRow" dxfId="69"/>
      <tableStyleElement type="firstColumnSubheading" dxfId="68"/>
      <tableStyleElement type="firstRowSubheading" dxfId="67"/>
      <tableStyleElement type="secondRowSubheading" dxfId="66"/>
      <tableStyleElement type="pageFieldLabels" dxfId="65"/>
      <tableStyleElement type="pageFieldValues" dxfId="64"/>
    </tableStyle>
    <tableStyle name="tiempo ejecutado" pivot="0" table="0" count="9" xr9:uid="{2E79C0C5-8FDD-42DC-9603-147B0C8E7311}">
      <tableStyleElement type="wholeTable" dxfId="63"/>
      <tableStyleElement type="headerRow" dxfId="62"/>
    </tableStyle>
  </tableStyles>
  <colors>
    <mruColors>
      <color rgb="FF6D5BD0"/>
      <color rgb="FF3D3748"/>
      <color rgb="FF2F2A3A"/>
      <color rgb="FFD59B37"/>
      <color rgb="FFF2F0F7"/>
      <color rgb="FFDED9EB"/>
      <color rgb="FFD7D1E3"/>
      <color rgb="FFB1AABE"/>
      <color rgb="FFFFF2CC"/>
      <color rgb="FFFF3737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rgb="FFC0C0C0"/>
            </patternFill>
          </fill>
          <border>
            <left style="thin">
              <color theme="2"/>
            </left>
            <right style="thin">
              <color theme="2"/>
            </right>
            <top style="thin">
              <color theme="2"/>
            </top>
            <bottom style="thin">
              <color theme="2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2F2A3A"/>
            </patternFill>
          </fill>
          <border>
            <left style="thin">
              <color rgb="FF2F2A3A"/>
            </left>
            <right style="thin">
              <color rgb="FF2F2A3A"/>
            </right>
            <top style="thin">
              <color rgb="FF2F2A3A"/>
            </top>
            <bottom style="thin">
              <color rgb="FF2F2A3A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BBADBA"/>
            </patternFill>
          </fill>
          <border>
            <left style="thin">
              <color rgb="FF2F2A3A"/>
            </left>
            <right style="thin">
              <color rgb="FF2F2A3A"/>
            </right>
            <top style="thin">
              <color rgb="FF2F2A3A"/>
            </top>
            <bottom style="thin">
              <color rgb="FF2F2A3A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jecu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F2F0F7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rgb="FFBBADBA"/>
              </stop>
              <stop position="1">
                <color rgb="FF36313F"/>
              </stop>
            </gradientFill>
          </fill>
          <border>
            <vertical/>
            <horizontal/>
          </border>
        </dxf>
        <dxf>
          <font>
            <b/>
            <i val="0"/>
            <sz val="9"/>
            <color rgb="FF3D3748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9"/>
            <color rgb="FF3D3748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rgb="FF3D3748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rgb="FF2F2A3A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empo ejecutado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microsoft.com/office/2011/relationships/timelineCache" Target="timelineCaches/timelineCache1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63" Type="http://schemas.openxmlformats.org/officeDocument/2006/relationships/customXml" Target="../customXml/item34.xml"/><Relationship Id="rId68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9" Type="http://schemas.openxmlformats.org/officeDocument/2006/relationships/calcChain" Target="calcChain.xml"/><Relationship Id="rId11" Type="http://schemas.openxmlformats.org/officeDocument/2006/relationships/pivotCacheDefinition" Target="pivotCache/pivotCacheDefinition2.xml"/><Relationship Id="rId24" Type="http://schemas.openxmlformats.org/officeDocument/2006/relationships/styles" Target="style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66" Type="http://schemas.openxmlformats.org/officeDocument/2006/relationships/customXml" Target="../customXml/item3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2.xml"/><Relationship Id="rId19" Type="http://schemas.microsoft.com/office/2007/relationships/slicerCache" Target="slicerCaches/slicerCache4.xml"/><Relationship Id="rId14" Type="http://schemas.openxmlformats.org/officeDocument/2006/relationships/pivotCacheDefinition" Target="pivotCache/pivotCacheDefinition5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56" Type="http://schemas.openxmlformats.org/officeDocument/2006/relationships/customXml" Target="../customXml/item27.xml"/><Relationship Id="rId64" Type="http://schemas.openxmlformats.org/officeDocument/2006/relationships/customXml" Target="../customXml/item35.xml"/><Relationship Id="rId69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microsoft.com/office/2007/relationships/slicerCache" Target="slicerCaches/slicerCache2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59" Type="http://schemas.openxmlformats.org/officeDocument/2006/relationships/customXml" Target="../customXml/item30.xml"/><Relationship Id="rId67" Type="http://schemas.openxmlformats.org/officeDocument/2006/relationships/customXml" Target="../customXml/item38.xml"/><Relationship Id="rId20" Type="http://schemas.openxmlformats.org/officeDocument/2006/relationships/pivotCacheDefinition" Target="pivotCache/pivotCacheDefinition7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62" Type="http://schemas.openxmlformats.org/officeDocument/2006/relationships/customXml" Target="../customXml/item33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6.xml"/><Relationship Id="rId23" Type="http://schemas.openxmlformats.org/officeDocument/2006/relationships/connections" Target="connections.xml"/><Relationship Id="rId28" Type="http://schemas.microsoft.com/office/2022/11/relationships/FeaturePropertyBag" Target="featurePropertyBag/featurePropertyBag.xml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57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60" Type="http://schemas.openxmlformats.org/officeDocument/2006/relationships/customXml" Target="../customXml/item31.xml"/><Relationship Id="rId65" Type="http://schemas.openxmlformats.org/officeDocument/2006/relationships/customXml" Target="../customXml/item3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4.xml"/><Relationship Id="rId18" Type="http://schemas.microsoft.com/office/2007/relationships/slicerCache" Target="slicerCaches/slicerCache3.xml"/><Relationship Id="rId39" Type="http://schemas.openxmlformats.org/officeDocument/2006/relationships/customXml" Target="../customXml/item10.xml"/><Relationship Id="rId34" Type="http://schemas.openxmlformats.org/officeDocument/2006/relationships/customXml" Target="../customXml/item5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Proyección</a:t>
            </a:r>
            <a:r>
              <a:rPr lang="en-US" b="1" baseline="0">
                <a:solidFill>
                  <a:schemeClr val="bg1"/>
                </a:solidFill>
              </a:rPr>
              <a:t> Anual</a:t>
            </a:r>
            <a:endParaRPr lang="en-US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2.6394662344370927E-2"/>
          <c:y val="2.8494801381511736E-2"/>
        </c:manualLayout>
      </c:layout>
      <c:overlay val="0"/>
      <c:spPr>
        <a:solidFill>
          <a:srgbClr val="A6565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65F3A">
                  <a:alpha val="69804"/>
                </a:srgbClr>
              </a:solidFill>
              <a:ln w="12700" cap="flat" cmpd="sng" algn="ctr">
                <a:solidFill>
                  <a:schemeClr val="accent6">
                    <a:lumMod val="75000"/>
                    <a:alpha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8A-4C5F-84AF-A0CB26956FA6}"/>
              </c:ext>
            </c:extLst>
          </c:dPt>
          <c:dPt>
            <c:idx val="1"/>
            <c:bubble3D val="0"/>
            <c:spPr>
              <a:solidFill>
                <a:srgbClr val="7C8A6A">
                  <a:alpha val="69804"/>
                </a:srgbClr>
              </a:solidFill>
              <a:ln w="9525" cap="flat" cmpd="sng" algn="ctr">
                <a:solidFill>
                  <a:srgbClr val="11588C">
                    <a:alpha val="7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8A-4C5F-84AF-A0CB26956FA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'Auxiliar 2'!$A$5:$A$6</c:f>
              <c:strCache>
                <c:ptCount val="2"/>
                <c:pt idx="0">
                  <c:v>Ingresos</c:v>
                </c:pt>
                <c:pt idx="1">
                  <c:v>Utilidades</c:v>
                </c:pt>
              </c:strCache>
            </c:strRef>
          </c:cat>
          <c:val>
            <c:numRef>
              <c:f>'Auxiliar 2'!$B$5:$B$6</c:f>
              <c:numCache>
                <c:formatCode>_-* #,##0_-;\-* #,##0_-;_-* "-"??_-;_-@_-</c:formatCode>
                <c:ptCount val="2"/>
                <c:pt idx="0">
                  <c:v>46000000</c:v>
                </c:pt>
                <c:pt idx="1">
                  <c:v>17258000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8A-4C5F-84AF-A0CB26956F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Top 10 Detalles</a:t>
            </a:r>
          </a:p>
        </c:rich>
      </c:tx>
      <c:layout>
        <c:manualLayout>
          <c:xMode val="edge"/>
          <c:yMode val="edge"/>
          <c:x val="1.5087881037164781E-2"/>
          <c:y val="2.3412106160444084E-2"/>
        </c:manualLayout>
      </c:layout>
      <c:overlay val="0"/>
      <c:spPr>
        <a:solidFill>
          <a:srgbClr val="A6565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serie1</c:v>
          </c:tx>
          <c:spPr>
            <a:solidFill>
              <a:srgbClr val="99897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'Auxiliar 2'!$F$5:$F$14</c:f>
              <c:strCache>
                <c:ptCount val="5"/>
                <c:pt idx="0">
                  <c:v>Otros</c:v>
                </c:pt>
                <c:pt idx="1">
                  <c:v>Entretenimiento</c:v>
                </c:pt>
                <c:pt idx="2">
                  <c:v>Gasto personales</c:v>
                </c:pt>
                <c:pt idx="3">
                  <c:v>Deuda</c:v>
                </c:pt>
                <c:pt idx="4">
                  <c:v>Hogar</c:v>
                </c:pt>
              </c:strCache>
            </c:strRef>
          </c:cat>
          <c:val>
            <c:numRef>
              <c:f>'Auxiliar 2'!$G$5:$G$14</c:f>
              <c:numCache>
                <c:formatCode>_-* #,##0_-;\-* #,##0_-;_-* "-"??_-;_-@_-</c:formatCode>
                <c:ptCount val="10"/>
                <c:pt idx="0">
                  <c:v>60000</c:v>
                </c:pt>
                <c:pt idx="1">
                  <c:v>180000</c:v>
                </c:pt>
                <c:pt idx="2" formatCode="General">
                  <c:v>4752000</c:v>
                </c:pt>
                <c:pt idx="3" formatCode="General">
                  <c:v>9850000</c:v>
                </c:pt>
                <c:pt idx="4" formatCode="General">
                  <c:v>13900000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F-4A2D-A54E-7EF40E062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9819487"/>
        <c:axId val="5360367"/>
      </c:barChart>
      <c:catAx>
        <c:axId val="1298194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360367"/>
        <c:crosses val="autoZero"/>
        <c:auto val="1"/>
        <c:lblAlgn val="ctr"/>
        <c:lblOffset val="100"/>
        <c:noMultiLvlLbl val="0"/>
      </c:catAx>
      <c:valAx>
        <c:axId val="536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lgDashDot"/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75000"/>
              </a:schemeClr>
            </a:solidFill>
            <a:prstDash val="lgDashDot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19487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7.2277777777777774E-2"/>
                <c:y val="0.79071741032370957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Comportamiento Anual</a:t>
            </a:r>
          </a:p>
        </c:rich>
      </c:tx>
      <c:layout>
        <c:manualLayout>
          <c:xMode val="edge"/>
          <c:yMode val="edge"/>
          <c:x val="2.6394662344370927E-2"/>
          <c:y val="2.8494801381511736E-2"/>
        </c:manualLayout>
      </c:layout>
      <c:overlay val="0"/>
      <c:spPr>
        <a:solidFill>
          <a:srgbClr val="245B4A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167D68">
                  <a:alpha val="65000"/>
                </a:srgbClr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92-4060-BA8E-630DE20294AF}"/>
              </c:ext>
            </c:extLst>
          </c:dPt>
          <c:dPt>
            <c:idx val="1"/>
            <c:bubble3D val="0"/>
            <c:spPr>
              <a:solidFill>
                <a:srgbClr val="2F6690">
                  <a:alpha val="64706"/>
                </a:srgb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092-4060-BA8E-630DE20294AF}"/>
              </c:ext>
            </c:extLst>
          </c:dPt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'Auxiliar 2'!$I$5:$I$6</c:f>
              <c:strCache>
                <c:ptCount val="2"/>
                <c:pt idx="0">
                  <c:v>Ingresos</c:v>
                </c:pt>
                <c:pt idx="1">
                  <c:v> Utilidades </c:v>
                </c:pt>
              </c:strCache>
            </c:strRef>
          </c:cat>
          <c:val>
            <c:numRef>
              <c:f>'Auxiliar 2'!$J$5:$J$6</c:f>
              <c:numCache>
                <c:formatCode>_-* #,##0_-;\-* #,##0_-;_-* "-"??_-;_-@_-</c:formatCode>
                <c:ptCount val="2"/>
                <c:pt idx="0">
                  <c:v>9620000</c:v>
                </c:pt>
                <c:pt idx="1">
                  <c:v>8956770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92-4060-BA8E-630DE20294A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Comportamiento de Desembolsos Mensuales</a:t>
            </a:r>
          </a:p>
        </c:rich>
      </c:tx>
      <c:layout>
        <c:manualLayout>
          <c:xMode val="edge"/>
          <c:yMode val="edge"/>
          <c:x val="8.4178352544366161E-3"/>
          <c:y val="2.5835859562777241E-2"/>
        </c:manualLayout>
      </c:layout>
      <c:overlay val="0"/>
      <c:spPr>
        <a:solidFill>
          <a:srgbClr val="245B4A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'Auxiliar 2'!$M$5</c:f>
              <c:strCache>
                <c:ptCount val="1"/>
                <c:pt idx="0">
                  <c:v>M Actual</c:v>
                </c:pt>
              </c:strCache>
            </c:strRef>
          </c:tx>
          <c:spPr>
            <a:ln w="28575" cap="rnd">
              <a:solidFill>
                <a:srgbClr val="167D68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'Auxiliar 2'!$M$6:$M$36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150000</c:v>
                </c:pt>
                <c:pt idx="6">
                  <c:v>0</c:v>
                </c:pt>
                <c:pt idx="7">
                  <c:v>45000</c:v>
                </c:pt>
                <c:pt idx="8">
                  <c:v>0</c:v>
                </c:pt>
                <c:pt idx="9">
                  <c:v>32000</c:v>
                </c:pt>
                <c:pt idx="10">
                  <c:v>155000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27230</c:v>
                </c:pt>
                <c:pt idx="23">
                  <c:v>0</c:v>
                </c:pt>
                <c:pt idx="24">
                  <c:v>146000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4-4D9E-A67E-3D75B04F80C4}"/>
            </c:ext>
          </c:extLst>
        </c:ser>
        <c:ser>
          <c:idx val="1"/>
          <c:order val="1"/>
          <c:tx>
            <c:strRef>
              <c:f>'Auxiliar 2'!$N$5</c:f>
              <c:strCache>
                <c:ptCount val="1"/>
                <c:pt idx="0">
                  <c:v>M Anterior</c:v>
                </c:pt>
              </c:strCache>
            </c:strRef>
          </c:tx>
          <c:spPr>
            <a:ln w="28575" cap="rnd">
              <a:solidFill>
                <a:srgbClr val="98504A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bg1"/>
              </a:solidFill>
              <a:ln w="9525">
                <a:solidFill>
                  <a:schemeClr val="tx2">
                    <a:lumMod val="90000"/>
                    <a:lumOff val="10000"/>
                  </a:schemeClr>
                </a:solidFill>
              </a:ln>
              <a:effectLst/>
            </c:spPr>
          </c:marker>
          <c:val>
            <c:numRef>
              <c:f>'Auxiliar 2'!$N$6:$N$36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85000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54-4D9E-A67E-3D75B04F8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317184"/>
        <c:axId val="986904816"/>
      </c:lineChart>
      <c:catAx>
        <c:axId val="98031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83C3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904816"/>
        <c:crosses val="autoZero"/>
        <c:auto val="1"/>
        <c:lblAlgn val="ctr"/>
        <c:lblOffset val="100"/>
        <c:noMultiLvlLbl val="0"/>
      </c:catAx>
      <c:valAx>
        <c:axId val="9869048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/>
                  </a:gs>
                  <a:gs pos="64000">
                    <a:schemeClr val="bg2">
                      <a:lumMod val="50000"/>
                    </a:schemeClr>
                  </a:gs>
                  <a:gs pos="100000">
                    <a:srgbClr val="EFF8F3"/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83C3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1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183C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[Planificador.xlsm]Auxiliar 2!TD_MAA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Comportamiento de Desembolsos Mensuales</a:t>
            </a:r>
          </a:p>
        </c:rich>
      </c:tx>
      <c:layout>
        <c:manualLayout>
          <c:xMode val="edge"/>
          <c:yMode val="edge"/>
          <c:x val="8.4178352544366161E-3"/>
          <c:y val="2.5835859562777241E-2"/>
        </c:manualLayout>
      </c:layout>
      <c:overlay val="0"/>
      <c:spPr>
        <a:solidFill>
          <a:srgbClr val="3D3748"/>
        </a:solidFill>
        <a:ln>
          <a:noFill/>
        </a:ln>
        <a:effectLst/>
      </c:spPr>
    </c:title>
    <c:autoTitleDeleted val="0"/>
    <c:pivotFmts>
      <c:pivotFmt>
        <c:idx val="0"/>
        <c:spPr>
          <a:ln w="28575" cap="rnd">
            <a:solidFill>
              <a:srgbClr val="6D5BD0"/>
            </a:solidFill>
            <a:round/>
          </a:ln>
          <a:effectLst/>
        </c:spPr>
        <c:marker>
          <c:symbol val="diamond"/>
          <c:size val="6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D59B37"/>
            </a:solidFill>
            <a:round/>
          </a:ln>
          <a:effectLst/>
        </c:spPr>
        <c:marker>
          <c:symbol val="triangle"/>
          <c:size val="6"/>
          <c:spPr>
            <a:solidFill>
              <a:schemeClr val="tx1"/>
            </a:solidFill>
            <a:ln w="9525"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'Auxiliar 2'!$AE$4</c:f>
              <c:strCache>
                <c:ptCount val="1"/>
                <c:pt idx="0">
                  <c:v>Mes Actual</c:v>
                </c:pt>
              </c:strCache>
            </c:strRef>
          </c:tx>
          <c:spPr>
            <a:ln w="28575" cap="rnd">
              <a:solidFill>
                <a:srgbClr val="6D5BD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'Auxiliar 2'!$AD$5:$AD$14</c:f>
              <c:strCache>
                <c:ptCount val="9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  <c:pt idx="4">
                  <c:v>18</c:v>
                </c:pt>
                <c:pt idx="5">
                  <c:v>19</c:v>
                </c:pt>
                <c:pt idx="6">
                  <c:v>23</c:v>
                </c:pt>
                <c:pt idx="7">
                  <c:v>25</c:v>
                </c:pt>
                <c:pt idx="8">
                  <c:v>26</c:v>
                </c:pt>
              </c:strCache>
            </c:strRef>
          </c:cat>
          <c:val>
            <c:numRef>
              <c:f>'Auxiliar 2'!$AE$5:$AE$14</c:f>
              <c:numCache>
                <c:formatCode>\$\ #,##0;\-\$\ #,##0;\$\ #,##0</c:formatCode>
                <c:ptCount val="9"/>
                <c:pt idx="0">
                  <c:v>150000</c:v>
                </c:pt>
                <c:pt idx="1">
                  <c:v>45000</c:v>
                </c:pt>
                <c:pt idx="2">
                  <c:v>32000</c:v>
                </c:pt>
                <c:pt idx="3">
                  <c:v>155000</c:v>
                </c:pt>
                <c:pt idx="4">
                  <c:v>5000</c:v>
                </c:pt>
                <c:pt idx="6">
                  <c:v>27230</c:v>
                </c:pt>
                <c:pt idx="7">
                  <c:v>146000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45-4FEB-9A5B-05AB2594DD2C}"/>
            </c:ext>
          </c:extLst>
        </c:ser>
        <c:ser>
          <c:idx val="1"/>
          <c:order val="1"/>
          <c:tx>
            <c:strRef>
              <c:f>'Auxiliar 2'!$AF$4</c:f>
              <c:strCache>
                <c:ptCount val="1"/>
                <c:pt idx="0">
                  <c:v>Mes Anterior</c:v>
                </c:pt>
              </c:strCache>
            </c:strRef>
          </c:tx>
          <c:spPr>
            <a:ln w="28575" cap="rnd">
              <a:solidFill>
                <a:srgbClr val="D59B37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tx1"/>
              </a:solidFill>
              <a:ln w="9525">
                <a:solidFill>
                  <a:schemeClr val="tx2">
                    <a:lumMod val="90000"/>
                    <a:lumOff val="10000"/>
                  </a:schemeClr>
                </a:solidFill>
              </a:ln>
              <a:effectLst/>
            </c:spPr>
          </c:marker>
          <c:cat>
            <c:strRef>
              <c:f>'Auxiliar 2'!$AD$5:$AD$14</c:f>
              <c:strCache>
                <c:ptCount val="9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11</c:v>
                </c:pt>
                <c:pt idx="4">
                  <c:v>18</c:v>
                </c:pt>
                <c:pt idx="5">
                  <c:v>19</c:v>
                </c:pt>
                <c:pt idx="6">
                  <c:v>23</c:v>
                </c:pt>
                <c:pt idx="7">
                  <c:v>25</c:v>
                </c:pt>
                <c:pt idx="8">
                  <c:v>26</c:v>
                </c:pt>
              </c:strCache>
            </c:strRef>
          </c:cat>
          <c:val>
            <c:numRef>
              <c:f>'Auxiliar 2'!$AF$5:$AF$14</c:f>
              <c:numCache>
                <c:formatCode>\$\ #,##0;\-\$\ #,##0;\$\ #,##0</c:formatCode>
                <c:ptCount val="9"/>
                <c:pt idx="5">
                  <c:v>9000</c:v>
                </c:pt>
                <c:pt idx="8">
                  <c:v>85000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45-4FEB-9A5B-05AB2594D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317184"/>
        <c:axId val="986904816"/>
      </c:lineChart>
      <c:catAx>
        <c:axId val="98031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3D3748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904816"/>
        <c:crosses val="autoZero"/>
        <c:auto val="1"/>
        <c:lblAlgn val="ctr"/>
        <c:lblOffset val="100"/>
        <c:noMultiLvlLbl val="0"/>
      </c:catAx>
      <c:valAx>
        <c:axId val="9869048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/>
                  </a:gs>
                  <a:gs pos="64000">
                    <a:schemeClr val="bg2">
                      <a:lumMod val="50000"/>
                    </a:schemeClr>
                  </a:gs>
                  <a:gs pos="100000">
                    <a:srgbClr val="EFF8F3"/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3D3748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317184"/>
        <c:crosses val="autoZero"/>
        <c:crossBetween val="between"/>
      </c:valAx>
      <c:spPr>
        <a:solidFill>
          <a:srgbClr val="F2F0F7"/>
        </a:solidFill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3D3748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134471</xdr:colOff>
      <xdr:row>2</xdr:row>
      <xdr:rowOff>15240</xdr:rowOff>
    </xdr:from>
    <xdr:to>
      <xdr:col>10</xdr:col>
      <xdr:colOff>751243</xdr:colOff>
      <xdr:row>5</xdr:row>
      <xdr:rowOff>167640</xdr:rowOff>
    </xdr:to>
    <xdr:sp macro="[0]!TransferirPresupues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AFB359B-63A6-663A-FE28-1E256D79DA80}"/>
            </a:ext>
          </a:extLst>
        </xdr:cNvPr>
        <xdr:cNvSpPr>
          <a:spLocks noChangeAspect="1"/>
        </xdr:cNvSpPr>
      </xdr:nvSpPr>
      <xdr:spPr>
        <a:xfrm>
          <a:off x="4732020" y="632460"/>
          <a:ext cx="3208020" cy="845820"/>
        </a:xfrm>
        <a:prstGeom prst="roundRect">
          <a:avLst/>
        </a:prstGeom>
        <a:solidFill>
          <a:schemeClr val="bg2">
            <a:lumMod val="75000"/>
            <a:alpha val="50000"/>
          </a:schemeClr>
        </a:solidFill>
        <a:ln w="38100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800">
              <a:ln>
                <a:solidFill>
                  <a:srgbClr val="000099"/>
                </a:solidFill>
              </a:ln>
              <a:solidFill>
                <a:schemeClr val="tx1"/>
              </a:solidFill>
            </a:rPr>
            <a:t>Guardar Registro</a:t>
          </a:r>
        </a:p>
      </xdr:txBody>
    </xdr:sp>
    <xdr:clientData/>
  </xdr:twoCellAnchor>
  <xdr:twoCellAnchor editAs="absolute">
    <xdr:from>
      <xdr:col>9</xdr:col>
      <xdr:colOff>861509</xdr:colOff>
      <xdr:row>2</xdr:row>
      <xdr:rowOff>30480</xdr:rowOff>
    </xdr:from>
    <xdr:to>
      <xdr:col>10</xdr:col>
      <xdr:colOff>758863</xdr:colOff>
      <xdr:row>5</xdr:row>
      <xdr:rowOff>121920</xdr:rowOff>
    </xdr:to>
    <xdr:pic macro="[0]!TransferirPresupuesto">
      <xdr:nvPicPr>
        <xdr:cNvPr id="4" name="Gráfico 3" descr="Disco con relleno sólido">
          <a:extLst>
            <a:ext uri="{FF2B5EF4-FFF2-40B4-BE49-F238E27FC236}">
              <a16:creationId xmlns:a16="http://schemas.microsoft.com/office/drawing/2014/main" id="{0007B15F-94F0-464A-4B91-1D5E59AC4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62800" y="647700"/>
          <a:ext cx="784860" cy="784860"/>
        </a:xfrm>
        <a:prstGeom prst="rect">
          <a:avLst/>
        </a:prstGeom>
      </xdr:spPr>
    </xdr:pic>
    <xdr:clientData/>
  </xdr:twoCellAnchor>
  <xdr:twoCellAnchor editAs="absolute">
    <xdr:from>
      <xdr:col>0</xdr:col>
      <xdr:colOff>30481</xdr:colOff>
      <xdr:row>0</xdr:row>
      <xdr:rowOff>30480</xdr:rowOff>
    </xdr:from>
    <xdr:to>
      <xdr:col>20</xdr:col>
      <xdr:colOff>286872</xdr:colOff>
      <xdr:row>0</xdr:row>
      <xdr:rowOff>533400</xdr:rowOff>
    </xdr:to>
    <xdr:sp macro="[0]!Credit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C1DA024-817E-BC71-9124-54A70B4A5547}"/>
            </a:ext>
          </a:extLst>
        </xdr:cNvPr>
        <xdr:cNvSpPr>
          <a:spLocks noChangeAspect="1"/>
        </xdr:cNvSpPr>
      </xdr:nvSpPr>
      <xdr:spPr>
        <a:xfrm>
          <a:off x="30481" y="30480"/>
          <a:ext cx="16195638" cy="50292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Presupuesto</a:t>
          </a:r>
        </a:p>
      </xdr:txBody>
    </xdr:sp>
    <xdr:clientData/>
  </xdr:twoCellAnchor>
  <xdr:twoCellAnchor editAs="absolute">
    <xdr:from>
      <xdr:col>6</xdr:col>
      <xdr:colOff>134471</xdr:colOff>
      <xdr:row>15</xdr:row>
      <xdr:rowOff>77993</xdr:rowOff>
    </xdr:from>
    <xdr:to>
      <xdr:col>11</xdr:col>
      <xdr:colOff>598842</xdr:colOff>
      <xdr:row>30</xdr:row>
      <xdr:rowOff>62753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98D6E1-F66B-4DFC-8222-1DAAD8F89BE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11</xdr:col>
      <xdr:colOff>815788</xdr:colOff>
      <xdr:row>15</xdr:row>
      <xdr:rowOff>77993</xdr:rowOff>
    </xdr:from>
    <xdr:to>
      <xdr:col>20</xdr:col>
      <xdr:colOff>8965</xdr:colOff>
      <xdr:row>30</xdr:row>
      <xdr:rowOff>100853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87DDF93-9789-4F7D-82BD-268248A5C13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</xdr:rowOff>
    </xdr:from>
    <xdr:to>
      <xdr:col>21</xdr:col>
      <xdr:colOff>433059</xdr:colOff>
      <xdr:row>2</xdr:row>
      <xdr:rowOff>161084</xdr:rowOff>
    </xdr:to>
    <xdr:sp macro="[0]!Credi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5AAFBEA-2A30-493C-B7CD-CDB2DF6D6BB5}"/>
            </a:ext>
          </a:extLst>
        </xdr:cNvPr>
        <xdr:cNvSpPr>
          <a:spLocks noChangeAspect="1"/>
        </xdr:cNvSpPr>
      </xdr:nvSpPr>
      <xdr:spPr>
        <a:xfrm>
          <a:off x="0" y="7620"/>
          <a:ext cx="16704000" cy="512052"/>
        </a:xfrm>
        <a:prstGeom prst="roundRect">
          <a:avLst/>
        </a:prstGeom>
        <a:solidFill>
          <a:srgbClr val="515C73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Registro Diario</a:t>
          </a:r>
        </a:p>
      </xdr:txBody>
    </xdr:sp>
    <xdr:clientData/>
  </xdr:twoCellAnchor>
  <xdr:twoCellAnchor editAs="absolute">
    <xdr:from>
      <xdr:col>5</xdr:col>
      <xdr:colOff>348278</xdr:colOff>
      <xdr:row>3</xdr:row>
      <xdr:rowOff>167636</xdr:rowOff>
    </xdr:from>
    <xdr:to>
      <xdr:col>9</xdr:col>
      <xdr:colOff>608254</xdr:colOff>
      <xdr:row>8</xdr:row>
      <xdr:rowOff>92950</xdr:rowOff>
    </xdr:to>
    <xdr:sp macro="[0]!TransferirDari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4DDE949-32B2-489E-A66D-1453A17E3E3A}"/>
            </a:ext>
          </a:extLst>
        </xdr:cNvPr>
        <xdr:cNvSpPr>
          <a:spLocks noChangeAspect="1"/>
        </xdr:cNvSpPr>
      </xdr:nvSpPr>
      <xdr:spPr>
        <a:xfrm>
          <a:off x="4857525" y="705518"/>
          <a:ext cx="3200400" cy="857644"/>
        </a:xfrm>
        <a:prstGeom prst="roundRect">
          <a:avLst/>
        </a:prstGeom>
        <a:solidFill>
          <a:srgbClr val="657D89">
            <a:alpha val="49804"/>
          </a:srgbClr>
        </a:solidFill>
        <a:ln w="38100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800" b="0" cap="none" spc="0">
              <a:ln w="0">
                <a:solidFill>
                  <a:srgbClr val="245B4A"/>
                </a:solidFill>
              </a:ln>
              <a:solidFill>
                <a:srgbClr val="122C24"/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Guardar Registro</a:t>
          </a:r>
        </a:p>
      </xdr:txBody>
    </xdr:sp>
    <xdr:clientData/>
  </xdr:twoCellAnchor>
  <xdr:twoCellAnchor editAs="absolute">
    <xdr:from>
      <xdr:col>8</xdr:col>
      <xdr:colOff>573303</xdr:colOff>
      <xdr:row>4</xdr:row>
      <xdr:rowOff>102198</xdr:rowOff>
    </xdr:from>
    <xdr:to>
      <xdr:col>9</xdr:col>
      <xdr:colOff>527582</xdr:colOff>
      <xdr:row>7</xdr:row>
      <xdr:rowOff>265356</xdr:rowOff>
    </xdr:to>
    <xdr:pic macro="[0]!TransferirDario">
      <xdr:nvPicPr>
        <xdr:cNvPr id="4" name="Gráfico 3" descr="Disco con relleno sólido">
          <a:extLst>
            <a:ext uri="{FF2B5EF4-FFF2-40B4-BE49-F238E27FC236}">
              <a16:creationId xmlns:a16="http://schemas.microsoft.com/office/drawing/2014/main" id="{A0A3EED4-5E1F-4197-A16B-94958212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87868" y="828339"/>
          <a:ext cx="689385" cy="6293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13</xdr:row>
      <xdr:rowOff>80682</xdr:rowOff>
    </xdr:from>
    <xdr:to>
      <xdr:col>4</xdr:col>
      <xdr:colOff>159571</xdr:colOff>
      <xdr:row>28</xdr:row>
      <xdr:rowOff>56478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C3D307-C61C-49E5-92EE-EB71CFE063F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15</xdr:row>
      <xdr:rowOff>0</xdr:rowOff>
    </xdr:from>
    <xdr:to>
      <xdr:col>19</xdr:col>
      <xdr:colOff>0</xdr:colOff>
      <xdr:row>31</xdr:row>
      <xdr:rowOff>53789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D22E559-956E-463D-821C-66EBABF0F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227012</xdr:colOff>
      <xdr:row>3</xdr:row>
      <xdr:rowOff>41858</xdr:rowOff>
    </xdr:to>
    <xdr:sp macro="[0]!Credi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529730D-3056-4DC9-9835-010D36182FB3}"/>
            </a:ext>
          </a:extLst>
        </xdr:cNvPr>
        <xdr:cNvSpPr>
          <a:spLocks noChangeAspect="1"/>
        </xdr:cNvSpPr>
      </xdr:nvSpPr>
      <xdr:spPr>
        <a:xfrm>
          <a:off x="0" y="0"/>
          <a:ext cx="16740000" cy="57974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Resumen de Desembolsos</a:t>
          </a:r>
        </a:p>
      </xdr:txBody>
    </xdr:sp>
    <xdr:clientData/>
  </xdr:twoCellAnchor>
  <xdr:twoCellAnchor editAs="absolute">
    <xdr:from>
      <xdr:col>0</xdr:col>
      <xdr:colOff>0</xdr:colOff>
      <xdr:row>3</xdr:row>
      <xdr:rowOff>171673</xdr:rowOff>
    </xdr:from>
    <xdr:to>
      <xdr:col>20</xdr:col>
      <xdr:colOff>191012</xdr:colOff>
      <xdr:row>7</xdr:row>
      <xdr:rowOff>171673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ombre del mes">
              <a:extLst>
                <a:ext uri="{FF2B5EF4-FFF2-40B4-BE49-F238E27FC236}">
                  <a16:creationId xmlns:a16="http://schemas.microsoft.com/office/drawing/2014/main" id="{CCCA7A03-71BC-81EF-1DE6-7743971BBA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09555"/>
              <a:ext cx="16704000" cy="7171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7</xdr:row>
      <xdr:rowOff>170330</xdr:rowOff>
    </xdr:from>
    <xdr:to>
      <xdr:col>3</xdr:col>
      <xdr:colOff>630219</xdr:colOff>
      <xdr:row>13</xdr:row>
      <xdr:rowOff>170330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s">
              <a:extLst>
                <a:ext uri="{FF2B5EF4-FFF2-40B4-BE49-F238E27FC236}">
                  <a16:creationId xmlns:a16="http://schemas.microsoft.com/office/drawing/2014/main" id="{1CA159C6-4909-A100-EAF0-C5AE00F121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25389"/>
              <a:ext cx="3337560" cy="10757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89647</xdr:colOff>
      <xdr:row>8</xdr:row>
      <xdr:rowOff>35857</xdr:rowOff>
    </xdr:from>
    <xdr:to>
      <xdr:col>9</xdr:col>
      <xdr:colOff>251012</xdr:colOff>
      <xdr:row>13</xdr:row>
      <xdr:rowOff>153743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2EE5DDC-4A64-C280-3A77-E194E17513F6}"/>
            </a:ext>
          </a:extLst>
        </xdr:cNvPr>
        <xdr:cNvSpPr>
          <a:spLocks noChangeAspect="1"/>
        </xdr:cNvSpPr>
      </xdr:nvSpPr>
      <xdr:spPr>
        <a:xfrm>
          <a:off x="3514165" y="1470210"/>
          <a:ext cx="4491318" cy="1014357"/>
        </a:xfrm>
        <a:prstGeom prst="roundRect">
          <a:avLst/>
        </a:prstGeom>
        <a:solidFill>
          <a:srgbClr val="2F2A3A"/>
        </a:solidFill>
        <a:ln w="38100">
          <a:solidFill>
            <a:srgbClr val="D7D1E3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t>Resumen de salidas de Efectivo y/o Equivalentes</a:t>
          </a:r>
        </a:p>
      </xdr:txBody>
    </xdr:sp>
    <xdr:clientData/>
  </xdr:twoCellAnchor>
  <xdr:twoCellAnchor editAs="absolute">
    <xdr:from>
      <xdr:col>1</xdr:col>
      <xdr:colOff>0</xdr:colOff>
      <xdr:row>14</xdr:row>
      <xdr:rowOff>137160</xdr:rowOff>
    </xdr:from>
    <xdr:to>
      <xdr:col>2</xdr:col>
      <xdr:colOff>1036768</xdr:colOff>
      <xdr:row>20</xdr:row>
      <xdr:rowOff>0</xdr:rowOff>
    </xdr:to>
    <xdr:sp macro="" textlink="'Auxiliar 2'!X18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5D28E49-EC77-4AC6-A87A-2A3DD19C172F}"/>
            </a:ext>
          </a:extLst>
        </xdr:cNvPr>
        <xdr:cNvSpPr>
          <a:spLocks noChangeAspect="1"/>
        </xdr:cNvSpPr>
      </xdr:nvSpPr>
      <xdr:spPr>
        <a:xfrm>
          <a:off x="206188" y="2647278"/>
          <a:ext cx="2211145" cy="938604"/>
        </a:xfrm>
        <a:prstGeom prst="roundRect">
          <a:avLst/>
        </a:prstGeom>
        <a:solidFill>
          <a:sysClr val="window" lastClr="FFFFFF"/>
        </a:solidFill>
        <a:ln w="3810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70DEC58-8BE8-4242-ACB3-C7126FC10602}" type="TxLink">
            <a:rPr lang="en-US" sz="1400" b="1" i="0" u="none" strike="noStrike">
              <a:solidFill>
                <a:srgbClr val="2F2A3A"/>
              </a:solidFill>
              <a:latin typeface="Aptos Narrow"/>
            </a:rPr>
            <a:pPr algn="ctr"/>
            <a:t>Presupuesto a la fecha
$ 11.809.000</a:t>
          </a:fld>
          <a:endParaRPr lang="en-US" sz="1800" b="1">
            <a:solidFill>
              <a:srgbClr val="2F2A3A"/>
            </a:solidFill>
          </a:endParaRPr>
        </a:p>
      </xdr:txBody>
    </xdr:sp>
    <xdr:clientData/>
  </xdr:twoCellAnchor>
  <xdr:twoCellAnchor editAs="absolute">
    <xdr:from>
      <xdr:col>2</xdr:col>
      <xdr:colOff>1282624</xdr:colOff>
      <xdr:row>14</xdr:row>
      <xdr:rowOff>137160</xdr:rowOff>
    </xdr:from>
    <xdr:to>
      <xdr:col>5</xdr:col>
      <xdr:colOff>641648</xdr:colOff>
      <xdr:row>19</xdr:row>
      <xdr:rowOff>175260</xdr:rowOff>
    </xdr:to>
    <xdr:sp macro="" textlink="'Auxiliar 2'!Y18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6CA33DD-C18F-4325-ADFF-69ACF709F75C}"/>
            </a:ext>
          </a:extLst>
        </xdr:cNvPr>
        <xdr:cNvSpPr>
          <a:spLocks noChangeAspect="1"/>
        </xdr:cNvSpPr>
      </xdr:nvSpPr>
      <xdr:spPr>
        <a:xfrm>
          <a:off x="2663189" y="2647278"/>
          <a:ext cx="2209800" cy="934570"/>
        </a:xfrm>
        <a:prstGeom prst="roundRect">
          <a:avLst/>
        </a:prstGeom>
        <a:solidFill>
          <a:sysClr val="window" lastClr="FFFFFF"/>
        </a:solidFill>
        <a:ln w="3810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CF5088D-D718-4A99-AF73-FAB1F21A50CA}" type="TxLink">
            <a:rPr lang="en-US" sz="1400" b="1" i="0" u="none" strike="noStrike">
              <a:solidFill>
                <a:srgbClr val="2F2A3A"/>
              </a:solidFill>
              <a:latin typeface="Aptos Narrow"/>
              <a:ea typeface="+mn-ea"/>
              <a:cs typeface="+mn-cs"/>
            </a:rPr>
            <a:pPr marL="0" indent="0" algn="ctr"/>
            <a:t>Desembolsos a la fecha
$ 663.230</a:t>
          </a:fld>
          <a:endParaRPr lang="en-US" sz="1400" b="1" i="0" u="none" strike="noStrike">
            <a:solidFill>
              <a:srgbClr val="2F2A3A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887505</xdr:colOff>
      <xdr:row>14</xdr:row>
      <xdr:rowOff>137160</xdr:rowOff>
    </xdr:from>
    <xdr:to>
      <xdr:col>9</xdr:col>
      <xdr:colOff>645459</xdr:colOff>
      <xdr:row>19</xdr:row>
      <xdr:rowOff>175260</xdr:rowOff>
    </xdr:to>
    <xdr:sp macro="" textlink="'Auxiliar 2'!Z18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306A65E-8426-4C32-ADDF-3B729EBA5077}"/>
            </a:ext>
          </a:extLst>
        </xdr:cNvPr>
        <xdr:cNvSpPr>
          <a:spLocks noChangeAspect="1"/>
        </xdr:cNvSpPr>
      </xdr:nvSpPr>
      <xdr:spPr>
        <a:xfrm>
          <a:off x="5118846" y="2647278"/>
          <a:ext cx="2725272" cy="934570"/>
        </a:xfrm>
        <a:prstGeom prst="roundRect">
          <a:avLst/>
        </a:prstGeom>
        <a:solidFill>
          <a:sysClr val="window" lastClr="FFFFFF"/>
        </a:solidFill>
        <a:ln w="3810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C76B484B-6F23-4449-A9FB-9E3D1BC1FA30}" type="TxLink">
            <a:rPr lang="en-US" sz="14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Pendiente por ejecutar a la fecha
$ 11.145.770
 Porcentaje: 5,62%</a:t>
          </a:fld>
          <a:endParaRPr lang="en-US" sz="1800" b="1" i="0" u="none" strike="noStrike">
            <a:solidFill>
              <a:srgbClr val="2F2A3A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523987</xdr:colOff>
      <xdr:row>8</xdr:row>
      <xdr:rowOff>83373</xdr:rowOff>
    </xdr:from>
    <xdr:to>
      <xdr:col>11</xdr:col>
      <xdr:colOff>691179</xdr:colOff>
      <xdr:row>13</xdr:row>
      <xdr:rowOff>125506</xdr:rowOff>
    </xdr:to>
    <xdr:sp macro="" textlink="'Auxiliar 2'!X8">
      <xdr:nvSpPr>
        <xdr:cNvPr id="9" name="Rectángulo: esquinas redondeadas 8">
          <a:extLst>
            <a:ext uri="{FF2B5EF4-FFF2-40B4-BE49-F238E27FC236}">
              <a16:creationId xmlns:a16="http://schemas.microsoft.com/office/drawing/2014/main" id="{F9549601-B181-4076-A33A-5C6E3534FF02}"/>
            </a:ext>
          </a:extLst>
        </xdr:cNvPr>
        <xdr:cNvSpPr>
          <a:spLocks noChangeAspect="1"/>
        </xdr:cNvSpPr>
      </xdr:nvSpPr>
      <xdr:spPr>
        <a:xfrm>
          <a:off x="7722646" y="1517726"/>
          <a:ext cx="2211145" cy="938604"/>
        </a:xfrm>
        <a:prstGeom prst="roundRect">
          <a:avLst/>
        </a:prstGeom>
        <a:solidFill>
          <a:srgbClr val="2F2A3A"/>
        </a:solidFill>
        <a:ln w="38100">
          <a:solidFill>
            <a:srgbClr val="D7D1E3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43BEC88-DA45-4192-AC5A-208D760B7009}" type="TxLink">
            <a:rPr lang="en-US" sz="1400" b="1" i="0" u="none" strike="noStrike">
              <a:solidFill>
                <a:schemeClr val="bg1"/>
              </a:solidFill>
              <a:latin typeface="Aptos Narrow"/>
            </a:rPr>
            <a:pPr algn="ctr"/>
            <a:t>Presupuesto Año Actual
$ 28.742.000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157331</xdr:colOff>
      <xdr:row>8</xdr:row>
      <xdr:rowOff>83373</xdr:rowOff>
    </xdr:from>
    <xdr:to>
      <xdr:col>14</xdr:col>
      <xdr:colOff>636942</xdr:colOff>
      <xdr:row>13</xdr:row>
      <xdr:rowOff>121472</xdr:rowOff>
    </xdr:to>
    <xdr:sp macro="" textlink="'Auxiliar 2'!Y8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59828ED-3AB0-4CEA-BA08-0745032E092D}"/>
            </a:ext>
          </a:extLst>
        </xdr:cNvPr>
        <xdr:cNvSpPr>
          <a:spLocks noChangeAspect="1"/>
        </xdr:cNvSpPr>
      </xdr:nvSpPr>
      <xdr:spPr>
        <a:xfrm>
          <a:off x="10206766" y="1517726"/>
          <a:ext cx="2209800" cy="934570"/>
        </a:xfrm>
        <a:prstGeom prst="roundRect">
          <a:avLst/>
        </a:prstGeom>
        <a:solidFill>
          <a:srgbClr val="2F2A3A"/>
        </a:solidFill>
        <a:ln w="38100">
          <a:solidFill>
            <a:srgbClr val="D7D1E3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7D793DF-0CFC-46A1-B848-1CDA307CF526}" type="TxLink">
            <a:rPr lang="en-US" sz="14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Desembolsos realizados
$ 663.230</a:t>
          </a:fld>
          <a:endParaRPr lang="en-US" sz="14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121023</xdr:colOff>
      <xdr:row>8</xdr:row>
      <xdr:rowOff>83373</xdr:rowOff>
    </xdr:from>
    <xdr:to>
      <xdr:col>18</xdr:col>
      <xdr:colOff>295835</xdr:colOff>
      <xdr:row>13</xdr:row>
      <xdr:rowOff>121472</xdr:rowOff>
    </xdr:to>
    <xdr:sp macro="" textlink="'Auxiliar 2'!Z8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04CEF88-68EE-40DD-ACE8-B8535107CF69}"/>
            </a:ext>
          </a:extLst>
        </xdr:cNvPr>
        <xdr:cNvSpPr>
          <a:spLocks noChangeAspect="1"/>
        </xdr:cNvSpPr>
      </xdr:nvSpPr>
      <xdr:spPr>
        <a:xfrm>
          <a:off x="12689541" y="1517726"/>
          <a:ext cx="2541494" cy="934570"/>
        </a:xfrm>
        <a:prstGeom prst="roundRect">
          <a:avLst/>
        </a:prstGeom>
        <a:solidFill>
          <a:srgbClr val="2F2A3A"/>
        </a:solidFill>
        <a:ln w="38100">
          <a:solidFill>
            <a:srgbClr val="D7D1E3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D3D29CCF-82CC-40CB-9F8F-D75C18552146}" type="TxLink">
            <a:rPr lang="en-US" sz="14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Pendiente por ejecutar
$ 28.078.770
 Porcentaje: 2,31%</a:t>
          </a:fld>
          <a:endParaRPr lang="en-US" sz="14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221877</xdr:colOff>
      <xdr:row>21</xdr:row>
      <xdr:rowOff>1</xdr:rowOff>
    </xdr:from>
    <xdr:to>
      <xdr:col>16</xdr:col>
      <xdr:colOff>457200</xdr:colOff>
      <xdr:row>34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lementos 1">
              <a:extLst>
                <a:ext uri="{FF2B5EF4-FFF2-40B4-BE49-F238E27FC236}">
                  <a16:creationId xmlns:a16="http://schemas.microsoft.com/office/drawing/2014/main" id="{F8AE897B-EC11-271E-2A09-F57FB1C339C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men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12606" y="3765177"/>
              <a:ext cx="2602006" cy="23308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937818</xdr:colOff>
      <xdr:row>15</xdr:row>
      <xdr:rowOff>33840</xdr:rowOff>
    </xdr:from>
    <xdr:to>
      <xdr:col>13</xdr:col>
      <xdr:colOff>753146</xdr:colOff>
      <xdr:row>19</xdr:row>
      <xdr:rowOff>163380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Elementos">
              <a:extLst>
                <a:ext uri="{FF2B5EF4-FFF2-40B4-BE49-F238E27FC236}">
                  <a16:creationId xmlns:a16="http://schemas.microsoft.com/office/drawing/2014/main" id="{2ABA85AF-725C-1E46-17A4-CD5296D909CB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men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36477" y="2723252"/>
              <a:ext cx="3607398" cy="8467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555813</xdr:colOff>
      <xdr:row>21</xdr:row>
      <xdr:rowOff>1</xdr:rowOff>
    </xdr:from>
    <xdr:to>
      <xdr:col>20</xdr:col>
      <xdr:colOff>170331</xdr:colOff>
      <xdr:row>34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Descripción">
              <a:extLst>
                <a:ext uri="{FF2B5EF4-FFF2-40B4-BE49-F238E27FC236}">
                  <a16:creationId xmlns:a16="http://schemas.microsoft.com/office/drawing/2014/main" id="{AC07DADB-EDD1-F748-E89E-341089D5A9D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13225" y="3765177"/>
              <a:ext cx="2770094" cy="23308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233081</xdr:colOff>
      <xdr:row>34</xdr:row>
      <xdr:rowOff>152400</xdr:rowOff>
    </xdr:from>
    <xdr:to>
      <xdr:col>20</xdr:col>
      <xdr:colOff>170329</xdr:colOff>
      <xdr:row>50</xdr:row>
      <xdr:rowOff>80682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5AB5649-1540-44E5-8E34-0A277E25189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277905</xdr:colOff>
      <xdr:row>14</xdr:row>
      <xdr:rowOff>171672</xdr:rowOff>
    </xdr:from>
    <xdr:to>
      <xdr:col>15</xdr:col>
      <xdr:colOff>403411</xdr:colOff>
      <xdr:row>20</xdr:row>
      <xdr:rowOff>17928</xdr:rowOff>
    </xdr:to>
    <xdr:pic macro="[0]!ActualizarModeloDatos">
      <xdr:nvPicPr>
        <xdr:cNvPr id="14" name="Gráfico 13">
          <a:extLst>
            <a:ext uri="{FF2B5EF4-FFF2-40B4-BE49-F238E27FC236}">
              <a16:creationId xmlns:a16="http://schemas.microsoft.com/office/drawing/2014/main" id="{A5167E10-F50B-7D5D-C2FB-F3E741D3C18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2700000">
          <a:off x="12053719" y="2685600"/>
          <a:ext cx="922020" cy="9144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50115737" backgroundQuery="1" createdVersion="8" refreshedVersion="8" minRefreshableVersion="3" recordCount="0" supportSubquery="1" supportAdvancedDrill="1" xr:uid="{58CF7389-33D0-4CAC-95AD-7A0C489C5C2F}">
  <cacheSource type="external" connectionId="12"/>
  <cacheFields count="7">
    <cacheField name="[Detalle Tipo].[Elementos].[Elementos]" caption="Elementos" numFmtId="0" hierarchy="20" level="1">
      <sharedItems count="7">
        <s v="Deuda"/>
        <s v="Educación"/>
        <s v="Entretenimiento"/>
        <s v="Gasto Personales"/>
        <s v="Hogar"/>
        <s v="Otros"/>
        <s v="Transporte"/>
      </sharedItems>
      <extLst>
        <ext xmlns:x15="http://schemas.microsoft.com/office/spreadsheetml/2010/11/main" uri="{4F2E5C28-24EA-4eb8-9CBF-B6C8F9C3D259}">
          <x15:cachedUniqueNames>
            <x15:cachedUniqueName index="0" name="[Detalle Tipo].[Elementos].&amp;[Deuda]"/>
            <x15:cachedUniqueName index="1" name="[Detalle Tipo].[Elementos].&amp;[Educación]"/>
            <x15:cachedUniqueName index="2" name="[Detalle Tipo].[Elementos].&amp;[Entretenimiento]"/>
            <x15:cachedUniqueName index="3" name="[Detalle Tipo].[Elementos].&amp;[Gasto Personales]"/>
            <x15:cachedUniqueName index="4" name="[Detalle Tipo].[Elementos].&amp;[Hogar]"/>
            <x15:cachedUniqueName index="5" name="[Detalle Tipo].[Elementos].&amp;[Otros]"/>
            <x15:cachedUniqueName index="6" name="[Detalle Tipo].[Elementos].&amp;[Transporte]"/>
          </x15:cachedUniqueNames>
        </ext>
      </extLst>
    </cacheField>
    <cacheField name="[Measures].[Salida Real]" caption="Salida Real" numFmtId="0" hierarchy="46" level="32767"/>
    <cacheField name="[Measures].[Salida presupuestada]" caption="Salida presupuestada" numFmtId="0" hierarchy="45" level="32767"/>
    <cacheField name="[Measures].[Salidas Eje]" caption="Salidas Eje" numFmtId="0" hierarchy="47" level="32767"/>
    <cacheField name="[Measures].[% Salida Eje]" caption="% Salida Eje" numFmtId="0" hierarchy="48" level="32767"/>
    <cacheField name="[Measures].[Estado]" caption="Estado" numFmtId="0" hierarchy="49" level="32767"/>
    <cacheField name="[Calendario].[Nombre del mes].[Nombre del mes]" caption="Nombre del mes" numFmtId="0" hierarchy="13" level="1">
      <sharedItems containsSemiMixedTypes="0" containsNonDate="0" containsString="0"/>
    </cacheField>
  </cacheFields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2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2" memberValueDatatype="130" unbalanced="0">
      <fieldsUsage count="2">
        <fieldUsage x="-1"/>
        <fieldUsage x="6"/>
      </fieldsUsage>
    </cacheHierarchy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0" memberValueDatatype="20" unbalanced="0"/>
    <cacheHierarchy uniqueName="[Concepto].[Elementos]" caption="Elementos" attribute="1" defaultMemberUniqueName="[Concepto].[Elementos].[All]" allUniqueName="[Concepto].[Elementos].[All]" dimensionUniqueName="[Concepto]" displayFolder="" count="0" memberValueDatatype="130" unbalanced="0"/>
    <cacheHierarchy uniqueName="[Descripcion].[Descripción]" caption="Descripción" attribute="1" defaultMemberUniqueName="[Descripcion].[Descripción].[All]" allUniqueName="[Descripcion].[Descripción].[All]" dimensionUniqueName="[Descripcion]" displayFolder="" count="0" memberValueDatatype="130" unbalanced="0"/>
    <cacheHierarchy uniqueName="[Detalle Tipo].[Elementos]" caption="Elementos" attribute="1" defaultMemberUniqueName="[Detalle Tipo].[Elementos].[All]" allUniqueName="[Detalle Tipo].[Elementos].[All]" dimensionUniqueName="[Detalle Tipo]" displayFolder="" count="2" memberValueDatatype="130" unbalanced="0">
      <fieldsUsage count="2">
        <fieldUsage x="-1"/>
        <fieldUsage x="0"/>
      </fieldsUsage>
    </cacheHierarchy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/>
    <cacheHierarchy uniqueName="[Measures].[Salidas Diarias mes Anterior]" caption="Salidas Diarias mes Anterior" measure="1" displayFolder="" measureGroup="Medidas" count="0"/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 oneField="1">
      <fieldsUsage count="1">
        <fieldUsage x="2"/>
      </fieldsUsage>
    </cacheHierarchy>
    <cacheHierarchy uniqueName="[Measures].[Salida Real]" caption="Salida Real" measure="1" displayFolder="" measureGroup="Medidas" count="0" oneField="1">
      <fieldsUsage count="1">
        <fieldUsage x="1"/>
      </fieldsUsage>
    </cacheHierarchy>
    <cacheHierarchy uniqueName="[Measures].[Salidas Eje]" caption="Salidas Eje" measure="1" displayFolder="" measureGroup="Medidas" count="0" oneField="1">
      <fieldsUsage count="1">
        <fieldUsage x="3"/>
      </fieldsUsage>
    </cacheHierarchy>
    <cacheHierarchy uniqueName="[Measures].[% Salida Eje]" caption="% Salida Eje" measure="1" displayFolder="" measureGroup="Medidas" count="0" oneField="1">
      <fieldsUsage count="1">
        <fieldUsage x="4"/>
      </fieldsUsage>
    </cacheHierarchy>
    <cacheHierarchy uniqueName="[Measures].[Estado]" caption="Estado" measure="1" displayFolder="" measureGroup="Medidas" count="0" oneField="1">
      <fieldsUsage count="1">
        <fieldUsage x="5"/>
      </fieldsUsage>
    </cacheHierarchy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/>
    <cacheHierarchy uniqueName="[Measures].[Salida Real Anio]" caption="Salida Real Anio" measure="1" displayFolder="" measureGroup="Medidas" count="0"/>
    <cacheHierarchy uniqueName="[Measures].[Salida Eje Anio]" caption="Salida Eje Anio" measure="1" displayFolder="" measureGroup="Medidas" count="0"/>
    <cacheHierarchy uniqueName="[Measures].[Salida %Eje Anio]" caption="Salida %Eje Anio" measure="1" displayFolder="" measureGroup="Medidas" count="0"/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9">
    <dimension name="BD_Presupuesto" uniqueName="[BD_Presupuesto]" caption="BD_Presupuesto"/>
    <dimension name="BD_Real" uniqueName="[BD_Real]" caption="BD_Real"/>
    <dimension name="Calendario" uniqueName="[Calendario]" caption="Calendario"/>
    <dimension name="Concepto" uniqueName="[Concepto]" caption="Concepto"/>
    <dimension name="Descripcion" uniqueName="[Descripcion]" caption="Descripcion"/>
    <dimension name="Detalle Tipo" uniqueName="[Detalle Tipo]" caption="Detalle Tipo"/>
    <dimension measure="1" name="Measures" uniqueName="[Measures]" caption="Measures"/>
    <dimension name="Medidas" uniqueName="[Medidas]" caption="Medidas"/>
    <dimension name="Modo" uniqueName="[Modo]" caption="Modo"/>
  </dimensions>
  <measureGroups count="8">
    <measureGroup name="BD_Presupuesto" caption="BD_Presupuesto"/>
    <measureGroup name="BD_Real" caption="BD_Real"/>
    <measureGroup name="Calendario" caption="Calendario"/>
    <measureGroup name="Concepto" caption="Concepto"/>
    <measureGroup name="Descripcion" caption="Descripcion"/>
    <measureGroup name="Detalle Tipo" caption="Detalle Tipo"/>
    <measureGroup name="Medidas" caption="Medidas"/>
    <measureGroup name="Modo" caption="Modo"/>
  </measureGroups>
  <maps count="16">
    <map measureGroup="0" dimension="0"/>
    <map measureGroup="0" dimension="2"/>
    <map measureGroup="0" dimension="3"/>
    <map measureGroup="0" dimension="4"/>
    <map measureGroup="0" dimension="5"/>
    <map measureGroup="1" dimension="1"/>
    <map measureGroup="1" dimension="2"/>
    <map measureGroup="1" dimension="3"/>
    <map measureGroup="1" dimension="4"/>
    <map measureGroup="1" dimension="5"/>
    <map measureGroup="2" dimension="2"/>
    <map measureGroup="3" dimension="3"/>
    <map measureGroup="4" dimension="4"/>
    <map measureGroup="5" dimension="5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57175927" backgroundQuery="1" createdVersion="8" refreshedVersion="8" minRefreshableVersion="3" recordCount="0" supportSubquery="1" supportAdvancedDrill="1" xr:uid="{D0B70F9F-1771-4275-B930-AD4C1E6735EE}">
  <cacheSource type="external" connectionId="12"/>
  <cacheFields count="8">
    <cacheField name="[Calendario].[Nombre del mes].[Nombre del mes]" caption="Nombre del mes" numFmtId="0" hierarchy="13" level="1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  <extLst>
        <ext xmlns:x15="http://schemas.microsoft.com/office/spreadsheetml/2010/11/main" uri="{4F2E5C28-24EA-4eb8-9CBF-B6C8F9C3D259}">
          <x15:cachedUniqueNames>
            <x15:cachedUniqueName index="0" name="[Calendario].[Nombre del mes].&amp;[enero]"/>
            <x15:cachedUniqueName index="1" name="[Calendario].[Nombre del mes].&amp;[febrero]"/>
            <x15:cachedUniqueName index="2" name="[Calendario].[Nombre del mes].&amp;[marzo]"/>
            <x15:cachedUniqueName index="3" name="[Calendario].[Nombre del mes].&amp;[abril]"/>
            <x15:cachedUniqueName index="4" name="[Calendario].[Nombre del mes].&amp;[mayo]"/>
            <x15:cachedUniqueName index="5" name="[Calendario].[Nombre del mes].&amp;[junio]"/>
            <x15:cachedUniqueName index="6" name="[Calendario].[Nombre del mes].&amp;[julio]"/>
            <x15:cachedUniqueName index="7" name="[Calendario].[Nombre del mes].&amp;[agosto]"/>
            <x15:cachedUniqueName index="8" name="[Calendario].[Nombre del mes].&amp;[septiembre]"/>
            <x15:cachedUniqueName index="9" name="[Calendario].[Nombre del mes].&amp;[octubre]"/>
            <x15:cachedUniqueName index="10" name="[Calendario].[Nombre del mes].&amp;[noviembre]"/>
            <x15:cachedUniqueName index="11" name="[Calendario].[Nombre del mes].&amp;[diciembre]"/>
          </x15:cachedUniqueNames>
        </ext>
      </extLst>
    </cacheField>
    <cacheField name="[Measures].[Salida Real]" caption="Salida Real" numFmtId="0" hierarchy="46" level="32767"/>
    <cacheField name="[Measures].[Salidas Eje]" caption="Salidas Eje" numFmtId="0" hierarchy="47" level="32767"/>
    <cacheField name="[Measures].[% Salida Eje]" caption="% Salida Eje" numFmtId="0" hierarchy="48" level="32767"/>
    <cacheField name="[Measures].[Salida presupuestada]" caption="Salida presupuestada" numFmtId="0" hierarchy="45" level="32767"/>
    <cacheField name="[Detalle Tipo].[Elementos].[Elementos]" caption="Elementos" numFmtId="0" hierarchy="20" level="1">
      <sharedItems containsSemiMixedTypes="0" containsNonDate="0" containsString="0"/>
    </cacheField>
    <cacheField name="[Concepto].[Elementos].[Elementos]" caption="Elementos" numFmtId="0" hierarchy="18" level="1">
      <sharedItems containsSemiMixedTypes="0" containsNonDate="0" containsString="0"/>
    </cacheField>
    <cacheField name="[Descripcion].[Descripción].[Descripción]" caption="Descripción" numFmtId="0" hierarchy="19" level="1">
      <sharedItems containsSemiMixedTypes="0" containsNonDate="0" containsString="0"/>
    </cacheField>
  </cacheFields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2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2" memberValueDatatype="130" unbalanced="0">
      <fieldsUsage count="2">
        <fieldUsage x="-1"/>
        <fieldUsage x="0"/>
      </fieldsUsage>
    </cacheHierarchy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0" memberValueDatatype="20" unbalanced="0"/>
    <cacheHierarchy uniqueName="[Concepto].[Elementos]" caption="Elementos" attribute="1" defaultMemberUniqueName="[Concepto].[Elementos].[All]" allUniqueName="[Concepto].[Elementos].[All]" dimensionUniqueName="[Concepto]" displayFolder="" count="2" memberValueDatatype="130" unbalanced="0">
      <fieldsUsage count="2">
        <fieldUsage x="-1"/>
        <fieldUsage x="6"/>
      </fieldsUsage>
    </cacheHierarchy>
    <cacheHierarchy uniqueName="[Descripcion].[Descripción]" caption="Descripción" attribute="1" defaultMemberUniqueName="[Descripcion].[Descripción].[All]" allUniqueName="[Descripcion].[Descripción].[All]" dimensionUniqueName="[Descripcion]" displayFolder="" count="2" memberValueDatatype="130" unbalanced="0">
      <fieldsUsage count="2">
        <fieldUsage x="-1"/>
        <fieldUsage x="7"/>
      </fieldsUsage>
    </cacheHierarchy>
    <cacheHierarchy uniqueName="[Detalle Tipo].[Elementos]" caption="Elementos" attribute="1" defaultMemberUniqueName="[Detalle Tipo].[Elementos].[All]" allUniqueName="[Detalle Tipo].[Elementos].[All]" dimensionUniqueName="[Detalle Tipo]" displayFolder="" count="2" memberValueDatatype="130" unbalanced="0">
      <fieldsUsage count="2">
        <fieldUsage x="-1"/>
        <fieldUsage x="5"/>
      </fieldsUsage>
    </cacheHierarchy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/>
    <cacheHierarchy uniqueName="[Measures].[Salidas Diarias mes Anterior]" caption="Salidas Diarias mes Anterior" measure="1" displayFolder="" measureGroup="Medidas" count="0"/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 oneField="1">
      <fieldsUsage count="1">
        <fieldUsage x="4"/>
      </fieldsUsage>
    </cacheHierarchy>
    <cacheHierarchy uniqueName="[Measures].[Salida Real]" caption="Salida Real" measure="1" displayFolder="" measureGroup="Medidas" count="0" oneField="1">
      <fieldsUsage count="1">
        <fieldUsage x="1"/>
      </fieldsUsage>
    </cacheHierarchy>
    <cacheHierarchy uniqueName="[Measures].[Salidas Eje]" caption="Salidas Eje" measure="1" displayFolder="" measureGroup="Medidas" count="0" oneField="1">
      <fieldsUsage count="1">
        <fieldUsage x="2"/>
      </fieldsUsage>
    </cacheHierarchy>
    <cacheHierarchy uniqueName="[Measures].[% Salida Eje]" caption="% Salida Eje" measure="1" displayFolder="" measureGroup="Medidas" count="0" oneField="1">
      <fieldsUsage count="1">
        <fieldUsage x="3"/>
      </fieldsUsage>
    </cacheHierarchy>
    <cacheHierarchy uniqueName="[Measures].[Estado]" caption="Estado" measure="1" displayFolder="" measureGroup="Medidas" count="0"/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/>
    <cacheHierarchy uniqueName="[Measures].[Salida Real Anio]" caption="Salida Real Anio" measure="1" displayFolder="" measureGroup="Medidas" count="0"/>
    <cacheHierarchy uniqueName="[Measures].[Salida Eje Anio]" caption="Salida Eje Anio" measure="1" displayFolder="" measureGroup="Medidas" count="0"/>
    <cacheHierarchy uniqueName="[Measures].[Salida %Eje Anio]" caption="Salida %Eje Anio" measure="1" displayFolder="" measureGroup="Medidas" count="0"/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9">
    <dimension name="BD_Presupuesto" uniqueName="[BD_Presupuesto]" caption="BD_Presupuesto"/>
    <dimension name="BD_Real" uniqueName="[BD_Real]" caption="BD_Real"/>
    <dimension name="Calendario" uniqueName="[Calendario]" caption="Calendario"/>
    <dimension name="Concepto" uniqueName="[Concepto]" caption="Concepto"/>
    <dimension name="Descripcion" uniqueName="[Descripcion]" caption="Descripcion"/>
    <dimension name="Detalle Tipo" uniqueName="[Detalle Tipo]" caption="Detalle Tipo"/>
    <dimension measure="1" name="Measures" uniqueName="[Measures]" caption="Measures"/>
    <dimension name="Medidas" uniqueName="[Medidas]" caption="Medidas"/>
    <dimension name="Modo" uniqueName="[Modo]" caption="Modo"/>
  </dimensions>
  <measureGroups count="8">
    <measureGroup name="BD_Presupuesto" caption="BD_Presupuesto"/>
    <measureGroup name="BD_Real" caption="BD_Real"/>
    <measureGroup name="Calendario" caption="Calendario"/>
    <measureGroup name="Concepto" caption="Concepto"/>
    <measureGroup name="Descripcion" caption="Descripcion"/>
    <measureGroup name="Detalle Tipo" caption="Detalle Tipo"/>
    <measureGroup name="Medidas" caption="Medidas"/>
    <measureGroup name="Modo" caption="Modo"/>
  </measureGroups>
  <maps count="16">
    <map measureGroup="0" dimension="0"/>
    <map measureGroup="0" dimension="2"/>
    <map measureGroup="0" dimension="3"/>
    <map measureGroup="0" dimension="4"/>
    <map measureGroup="0" dimension="5"/>
    <map measureGroup="1" dimension="1"/>
    <map measureGroup="1" dimension="2"/>
    <map measureGroup="1" dimension="3"/>
    <map measureGroup="1" dimension="4"/>
    <map measureGroup="1" dimension="5"/>
    <map measureGroup="2" dimension="2"/>
    <map measureGroup="3" dimension="3"/>
    <map measureGroup="4" dimension="4"/>
    <map measureGroup="5" dimension="5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59490743" backgroundQuery="1" createdVersion="8" refreshedVersion="8" minRefreshableVersion="3" recordCount="0" supportSubquery="1" supportAdvancedDrill="1" xr:uid="{921D8D2B-4DDD-46E3-B068-C4A3BDF9A958}">
  <cacheSource type="external" connectionId="12"/>
  <cacheFields count="7">
    <cacheField name="[Measures].[Salida Presupuesto Anio]" caption="Salida Presupuesto Anio" numFmtId="0" hierarchy="66" level="32767"/>
    <cacheField name="[Measures].[Salida Real Anio]" caption="Salida Real Anio" numFmtId="0" hierarchy="67" level="32767"/>
    <cacheField name="[Measures].[Salida Eje Anio]" caption="Salida Eje Anio" numFmtId="0" hierarchy="68" level="32767"/>
    <cacheField name="[Measures].[Salida %Eje Anio]" caption="Salida %Eje Anio" numFmtId="0" hierarchy="69" level="32767"/>
    <cacheField name="[Detalle Tipo].[Elementos].[Elementos]" caption="Elementos" numFmtId="0" hierarchy="20" level="1">
      <sharedItems containsSemiMixedTypes="0" containsNonDate="0" containsString="0"/>
    </cacheField>
    <cacheField name="[Concepto].[Elementos].[Elementos]" caption="Elementos" numFmtId="0" hierarchy="18" level="1">
      <sharedItems containsSemiMixedTypes="0" containsNonDate="0" containsString="0"/>
    </cacheField>
    <cacheField name="[Descripcion].[Descripción].[Descripción]" caption="Descripción" numFmtId="0" hierarchy="19" level="1">
      <sharedItems containsSemiMixedTypes="0" containsNonDate="0" containsString="0"/>
    </cacheField>
  </cacheFields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0" memberValueDatatype="20" unbalanced="0"/>
    <cacheHierarchy uniqueName="[Concepto].[Elementos]" caption="Elementos" attribute="1" defaultMemberUniqueName="[Concepto].[Elementos].[All]" allUniqueName="[Concepto].[Elementos].[All]" dimensionUniqueName="[Concepto]" displayFolder="" count="2" memberValueDatatype="130" unbalanced="0">
      <fieldsUsage count="2">
        <fieldUsage x="-1"/>
        <fieldUsage x="5"/>
      </fieldsUsage>
    </cacheHierarchy>
    <cacheHierarchy uniqueName="[Descripcion].[Descripción]" caption="Descripción" attribute="1" defaultMemberUniqueName="[Descripcion].[Descripción].[All]" allUniqueName="[Descripcion].[Descripción].[All]" dimensionUniqueName="[Descripcion]" displayFolder="" count="2" memberValueDatatype="130" unbalanced="0">
      <fieldsUsage count="2">
        <fieldUsage x="-1"/>
        <fieldUsage x="6"/>
      </fieldsUsage>
    </cacheHierarchy>
    <cacheHierarchy uniqueName="[Detalle Tipo].[Elementos]" caption="Elementos" attribute="1" defaultMemberUniqueName="[Detalle Tipo].[Elementos].[All]" allUniqueName="[Detalle Tipo].[Elementos].[All]" dimensionUniqueName="[Detalle Tipo]" displayFolder="" count="2" memberValueDatatype="130" unbalanced="0">
      <fieldsUsage count="2">
        <fieldUsage x="-1"/>
        <fieldUsage x="4"/>
      </fieldsUsage>
    </cacheHierarchy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/>
    <cacheHierarchy uniqueName="[Measures].[Salidas Diarias mes Anterior]" caption="Salidas Diarias mes Anterior" measure="1" displayFolder="" measureGroup="Medidas" count="0"/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/>
    <cacheHierarchy uniqueName="[Measures].[Salida Real]" caption="Salida Real" measure="1" displayFolder="" measureGroup="Medidas" count="0"/>
    <cacheHierarchy uniqueName="[Measures].[Salidas Eje]" caption="Salidas Eje" measure="1" displayFolder="" measureGroup="Medidas" count="0"/>
    <cacheHierarchy uniqueName="[Measures].[% Salida Eje]" caption="% Salida Eje" measure="1" displayFolder="" measureGroup="Medidas" count="0"/>
    <cacheHierarchy uniqueName="[Measures].[Estado]" caption="Estado" measure="1" displayFolder="" measureGroup="Medidas" count="0"/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 oneField="1">
      <fieldsUsage count="1">
        <fieldUsage x="0"/>
      </fieldsUsage>
    </cacheHierarchy>
    <cacheHierarchy uniqueName="[Measures].[Salida Real Anio]" caption="Salida Real Anio" measure="1" displayFolder="" measureGroup="Medidas" count="0" oneField="1">
      <fieldsUsage count="1">
        <fieldUsage x="1"/>
      </fieldsUsage>
    </cacheHierarchy>
    <cacheHierarchy uniqueName="[Measures].[Salida Eje Anio]" caption="Salida Eje Anio" measure="1" displayFolder="" measureGroup="Medidas" count="0" oneField="1">
      <fieldsUsage count="1">
        <fieldUsage x="2"/>
      </fieldsUsage>
    </cacheHierarchy>
    <cacheHierarchy uniqueName="[Measures].[Salida %Eje Anio]" caption="Salida %Eje Anio" measure="1" displayFolder="" measureGroup="Medidas" count="0" oneField="1">
      <fieldsUsage count="1">
        <fieldUsage x="3"/>
      </fieldsUsage>
    </cacheHierarchy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9">
    <dimension name="BD_Presupuesto" uniqueName="[BD_Presupuesto]" caption="BD_Presupuesto"/>
    <dimension name="BD_Real" uniqueName="[BD_Real]" caption="BD_Real"/>
    <dimension name="Calendario" uniqueName="[Calendario]" caption="Calendario"/>
    <dimension name="Concepto" uniqueName="[Concepto]" caption="Concepto"/>
    <dimension name="Descripcion" uniqueName="[Descripcion]" caption="Descripcion"/>
    <dimension name="Detalle Tipo" uniqueName="[Detalle Tipo]" caption="Detalle Tipo"/>
    <dimension measure="1" name="Measures" uniqueName="[Measures]" caption="Measures"/>
    <dimension name="Medidas" uniqueName="[Medidas]" caption="Medidas"/>
    <dimension name="Modo" uniqueName="[Modo]" caption="Modo"/>
  </dimensions>
  <measureGroups count="8">
    <measureGroup name="BD_Presupuesto" caption="BD_Presupuesto"/>
    <measureGroup name="BD_Real" caption="BD_Real"/>
    <measureGroup name="Calendario" caption="Calendario"/>
    <measureGroup name="Concepto" caption="Concepto"/>
    <measureGroup name="Descripcion" caption="Descripcion"/>
    <measureGroup name="Detalle Tipo" caption="Detalle Tipo"/>
    <measureGroup name="Medidas" caption="Medidas"/>
    <measureGroup name="Modo" caption="Modo"/>
  </measureGroups>
  <maps count="16">
    <map measureGroup="0" dimension="0"/>
    <map measureGroup="0" dimension="2"/>
    <map measureGroup="0" dimension="3"/>
    <map measureGroup="0" dimension="4"/>
    <map measureGroup="0" dimension="5"/>
    <map measureGroup="1" dimension="1"/>
    <map measureGroup="1" dimension="2"/>
    <map measureGroup="1" dimension="3"/>
    <map measureGroup="1" dimension="4"/>
    <map measureGroup="1" dimension="5"/>
    <map measureGroup="2" dimension="2"/>
    <map measureGroup="3" dimension="3"/>
    <map measureGroup="4" dimension="4"/>
    <map measureGroup="5" dimension="5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61805553" backgroundQuery="1" createdVersion="8" refreshedVersion="8" minRefreshableVersion="3" recordCount="0" supportSubquery="1" supportAdvancedDrill="1" xr:uid="{405CC58F-497D-4048-BADD-322858FD4509}">
  <cacheSource type="external" connectionId="12"/>
  <cacheFields count="6">
    <cacheField name="[Measures].[Salidas Diarias mes]" caption="Salidas Diarias mes" numFmtId="0" hierarchy="34" level="32767"/>
    <cacheField name="[Measures].[Salidas Diarias mes Anterior]" caption="Salidas Diarias mes Anterior" numFmtId="0" hierarchy="35" level="32767"/>
    <cacheField name="[Calendario].[Día].[Día]" caption="Día" numFmtId="0" hierarchy="17" level="1">
      <sharedItems containsSemiMixedTypes="0" containsString="0" containsNumber="1" containsInteger="1" minValue="6" maxValue="26" count="9">
        <n v="6"/>
        <n v="8"/>
        <n v="10"/>
        <n v="11"/>
        <n v="18"/>
        <n v="19"/>
        <n v="23"/>
        <n v="25"/>
        <n v="26"/>
      </sharedItems>
      <extLst>
        <ext xmlns:x15="http://schemas.microsoft.com/office/spreadsheetml/2010/11/main" uri="{4F2E5C28-24EA-4eb8-9CBF-B6C8F9C3D259}">
          <x15:cachedUniqueNames>
            <x15:cachedUniqueName index="0" name="[Calendario].[Día].&amp;[6]"/>
            <x15:cachedUniqueName index="1" name="[Calendario].[Día].&amp;[8]"/>
            <x15:cachedUniqueName index="2" name="[Calendario].[Día].&amp;[10]"/>
            <x15:cachedUniqueName index="3" name="[Calendario].[Día].&amp;[11]"/>
            <x15:cachedUniqueName index="4" name="[Calendario].[Día].&amp;[18]"/>
            <x15:cachedUniqueName index="5" name="[Calendario].[Día].&amp;[19]"/>
            <x15:cachedUniqueName index="6" name="[Calendario].[Día].&amp;[23]"/>
            <x15:cachedUniqueName index="7" name="[Calendario].[Día].&amp;[25]"/>
            <x15:cachedUniqueName index="8" name="[Calendario].[Día].&amp;[26]"/>
          </x15:cachedUniqueNames>
        </ext>
      </extLst>
    </cacheField>
    <cacheField name="[Detalle Tipo].[Elementos].[Elementos]" caption="Elementos" numFmtId="0" hierarchy="20" level="1">
      <sharedItems containsSemiMixedTypes="0" containsNonDate="0" containsString="0"/>
    </cacheField>
    <cacheField name="[Concepto].[Elementos].[Elementos]" caption="Elementos" numFmtId="0" hierarchy="18" level="1">
      <sharedItems containsSemiMixedTypes="0" containsNonDate="0" containsString="0"/>
    </cacheField>
    <cacheField name="[Descripcion].[Descripción].[Descripción]" caption="Descripción" numFmtId="0" hierarchy="19" level="1">
      <sharedItems containsSemiMixedTypes="0" containsNonDate="0" containsString="0"/>
    </cacheField>
  </cacheFields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2" memberValueDatatype="20" unbalanced="0">
      <fieldsUsage count="2">
        <fieldUsage x="-1"/>
        <fieldUsage x="2"/>
      </fieldsUsage>
    </cacheHierarchy>
    <cacheHierarchy uniqueName="[Concepto].[Elementos]" caption="Elementos" attribute="1" defaultMemberUniqueName="[Concepto].[Elementos].[All]" allUniqueName="[Concepto].[Elementos].[All]" dimensionUniqueName="[Concepto]" displayFolder="" count="2" memberValueDatatype="130" unbalanced="0">
      <fieldsUsage count="2">
        <fieldUsage x="-1"/>
        <fieldUsage x="4"/>
      </fieldsUsage>
    </cacheHierarchy>
    <cacheHierarchy uniqueName="[Descripcion].[Descripción]" caption="Descripción" attribute="1" defaultMemberUniqueName="[Descripcion].[Descripción].[All]" allUniqueName="[Descripcion].[Descripción].[All]" dimensionUniqueName="[Descripcion]" displayFolder="" count="2" memberValueDatatype="130" unbalanced="0">
      <fieldsUsage count="2">
        <fieldUsage x="-1"/>
        <fieldUsage x="5"/>
      </fieldsUsage>
    </cacheHierarchy>
    <cacheHierarchy uniqueName="[Detalle Tipo].[Elementos]" caption="Elementos" attribute="1" defaultMemberUniqueName="[Detalle Tipo].[Elementos].[All]" allUniqueName="[Detalle Tipo].[Elementos].[All]" dimensionUniqueName="[Detalle Tipo]" displayFolder="" count="2" memberValueDatatype="130" unbalanced="0">
      <fieldsUsage count="2">
        <fieldUsage x="-1"/>
        <fieldUsage x="3"/>
      </fieldsUsage>
    </cacheHierarchy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 oneField="1">
      <fieldsUsage count="1">
        <fieldUsage x="0"/>
      </fieldsUsage>
    </cacheHierarchy>
    <cacheHierarchy uniqueName="[Measures].[Salidas Diarias mes Anterior]" caption="Salidas Diarias mes Anterior" measure="1" displayFolder="" measureGroup="Medidas" count="0" oneField="1">
      <fieldsUsage count="1">
        <fieldUsage x="1"/>
      </fieldsUsage>
    </cacheHierarchy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/>
    <cacheHierarchy uniqueName="[Measures].[Salida Real]" caption="Salida Real" measure="1" displayFolder="" measureGroup="Medidas" count="0"/>
    <cacheHierarchy uniqueName="[Measures].[Salidas Eje]" caption="Salidas Eje" measure="1" displayFolder="" measureGroup="Medidas" count="0"/>
    <cacheHierarchy uniqueName="[Measures].[% Salida Eje]" caption="% Salida Eje" measure="1" displayFolder="" measureGroup="Medidas" count="0"/>
    <cacheHierarchy uniqueName="[Measures].[Estado]" caption="Estado" measure="1" displayFolder="" measureGroup="Medidas" count="0"/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/>
    <cacheHierarchy uniqueName="[Measures].[Salida Real Anio]" caption="Salida Real Anio" measure="1" displayFolder="" measureGroup="Medidas" count="0"/>
    <cacheHierarchy uniqueName="[Measures].[Salida Eje Anio]" caption="Salida Eje Anio" measure="1" displayFolder="" measureGroup="Medidas" count="0"/>
    <cacheHierarchy uniqueName="[Measures].[Salida %Eje Anio]" caption="Salida %Eje Anio" measure="1" displayFolder="" measureGroup="Medidas" count="0"/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9">
    <dimension name="BD_Presupuesto" uniqueName="[BD_Presupuesto]" caption="BD_Presupuesto"/>
    <dimension name="BD_Real" uniqueName="[BD_Real]" caption="BD_Real"/>
    <dimension name="Calendario" uniqueName="[Calendario]" caption="Calendario"/>
    <dimension name="Concepto" uniqueName="[Concepto]" caption="Concepto"/>
    <dimension name="Descripcion" uniqueName="[Descripcion]" caption="Descripcion"/>
    <dimension name="Detalle Tipo" uniqueName="[Detalle Tipo]" caption="Detalle Tipo"/>
    <dimension measure="1" name="Measures" uniqueName="[Measures]" caption="Measures"/>
    <dimension name="Medidas" uniqueName="[Medidas]" caption="Medidas"/>
    <dimension name="Modo" uniqueName="[Modo]" caption="Modo"/>
  </dimensions>
  <measureGroups count="8">
    <measureGroup name="BD_Presupuesto" caption="BD_Presupuesto"/>
    <measureGroup name="BD_Real" caption="BD_Real"/>
    <measureGroup name="Calendario" caption="Calendario"/>
    <measureGroup name="Concepto" caption="Concepto"/>
    <measureGroup name="Descripcion" caption="Descripcion"/>
    <measureGroup name="Detalle Tipo" caption="Detalle Tipo"/>
    <measureGroup name="Medidas" caption="Medidas"/>
    <measureGroup name="Modo" caption="Modo"/>
  </measureGroups>
  <maps count="16">
    <map measureGroup="0" dimension="0"/>
    <map measureGroup="0" dimension="2"/>
    <map measureGroup="0" dimension="3"/>
    <map measureGroup="0" dimension="4"/>
    <map measureGroup="0" dimension="5"/>
    <map measureGroup="1" dimension="1"/>
    <map measureGroup="1" dimension="2"/>
    <map measureGroup="1" dimension="3"/>
    <map measureGroup="1" dimension="4"/>
    <map measureGroup="1" dimension="5"/>
    <map measureGroup="2" dimension="2"/>
    <map measureGroup="3" dimension="3"/>
    <map measureGroup="4" dimension="4"/>
    <map measureGroup="5" dimension="5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64699078" backgroundQuery="1" createdVersion="8" refreshedVersion="8" minRefreshableVersion="3" recordCount="0" supportSubquery="1" supportAdvancedDrill="1" xr:uid="{2B6CD29A-7F6C-44B7-A6D3-2AD9860F468C}">
  <cacheSource type="external" connectionId="12"/>
  <cacheFields count="8">
    <cacheField name="[Measures].[Salida presupuestada]" caption="Salida presupuestada" numFmtId="0" hierarchy="45" level="32767"/>
    <cacheField name="[Measures].[Salida Real]" caption="Salida Real" numFmtId="0" hierarchy="46" level="32767"/>
    <cacheField name="[Measures].[Salidas Eje]" caption="Salidas Eje" numFmtId="0" hierarchy="47" level="32767"/>
    <cacheField name="[Measures].[% Salida Eje]" caption="% Salida Eje" numFmtId="0" hierarchy="48" level="32767"/>
    <cacheField name="[Detalle Tipo].[Elementos].[Elementos]" caption="Elementos" numFmtId="0" hierarchy="20" level="1">
      <sharedItems containsSemiMixedTypes="0" containsNonDate="0" containsString="0"/>
    </cacheField>
    <cacheField name="[Calendario].[Nombre del mes].[Nombre del mes]" caption="Nombre del mes" numFmtId="0" hierarchy="13" level="1">
      <sharedItems containsSemiMixedTypes="0" containsNonDate="0" containsString="0"/>
    </cacheField>
    <cacheField name="[Concepto].[Elementos].[Elementos]" caption="Elementos" numFmtId="0" hierarchy="18" level="1">
      <sharedItems containsSemiMixedTypes="0" containsNonDate="0" containsString="0"/>
    </cacheField>
    <cacheField name="[Descripcion].[Descripción].[Descripción]" caption="Descripción" numFmtId="0" hierarchy="19" level="1">
      <sharedItems containsSemiMixedTypes="0" containsNonDate="0" containsString="0"/>
    </cacheField>
  </cacheFields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2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2" memberValueDatatype="130" unbalanced="0">
      <fieldsUsage count="2">
        <fieldUsage x="-1"/>
        <fieldUsage x="5"/>
      </fieldsUsage>
    </cacheHierarchy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0" memberValueDatatype="20" unbalanced="0"/>
    <cacheHierarchy uniqueName="[Concepto].[Elementos]" caption="Elementos" attribute="1" defaultMemberUniqueName="[Concepto].[Elementos].[All]" allUniqueName="[Concepto].[Elementos].[All]" dimensionUniqueName="[Concepto]" displayFolder="" count="2" memberValueDatatype="130" unbalanced="0">
      <fieldsUsage count="2">
        <fieldUsage x="-1"/>
        <fieldUsage x="6"/>
      </fieldsUsage>
    </cacheHierarchy>
    <cacheHierarchy uniqueName="[Descripcion].[Descripción]" caption="Descripción" attribute="1" defaultMemberUniqueName="[Descripcion].[Descripción].[All]" allUniqueName="[Descripcion].[Descripción].[All]" dimensionUniqueName="[Descripcion]" displayFolder="" count="2" memberValueDatatype="130" unbalanced="0">
      <fieldsUsage count="2">
        <fieldUsage x="-1"/>
        <fieldUsage x="7"/>
      </fieldsUsage>
    </cacheHierarchy>
    <cacheHierarchy uniqueName="[Detalle Tipo].[Elementos]" caption="Elementos" attribute="1" defaultMemberUniqueName="[Detalle Tipo].[Elementos].[All]" allUniqueName="[Detalle Tipo].[Elementos].[All]" dimensionUniqueName="[Detalle Tipo]" displayFolder="" count="2" memberValueDatatype="130" unbalanced="0">
      <fieldsUsage count="2">
        <fieldUsage x="-1"/>
        <fieldUsage x="4"/>
      </fieldsUsage>
    </cacheHierarchy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/>
    <cacheHierarchy uniqueName="[Measures].[Salidas Diarias mes Anterior]" caption="Salidas Diarias mes Anterior" measure="1" displayFolder="" measureGroup="Medidas" count="0"/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 oneField="1">
      <fieldsUsage count="1">
        <fieldUsage x="0"/>
      </fieldsUsage>
    </cacheHierarchy>
    <cacheHierarchy uniqueName="[Measures].[Salida Real]" caption="Salida Real" measure="1" displayFolder="" measureGroup="Medidas" count="0" oneField="1">
      <fieldsUsage count="1">
        <fieldUsage x="1"/>
      </fieldsUsage>
    </cacheHierarchy>
    <cacheHierarchy uniqueName="[Measures].[Salidas Eje]" caption="Salidas Eje" measure="1" displayFolder="" measureGroup="Medidas" count="0" oneField="1">
      <fieldsUsage count="1">
        <fieldUsage x="2"/>
      </fieldsUsage>
    </cacheHierarchy>
    <cacheHierarchy uniqueName="[Measures].[% Salida Eje]" caption="% Salida Eje" measure="1" displayFolder="" measureGroup="Medidas" count="0" oneField="1">
      <fieldsUsage count="1">
        <fieldUsage x="3"/>
      </fieldsUsage>
    </cacheHierarchy>
    <cacheHierarchy uniqueName="[Measures].[Estado]" caption="Estado" measure="1" displayFolder="" measureGroup="Medidas" count="0"/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/>
    <cacheHierarchy uniqueName="[Measures].[Salida Real Anio]" caption="Salida Real Anio" measure="1" displayFolder="" measureGroup="Medidas" count="0"/>
    <cacheHierarchy uniqueName="[Measures].[Salida Eje Anio]" caption="Salida Eje Anio" measure="1" displayFolder="" measureGroup="Medidas" count="0"/>
    <cacheHierarchy uniqueName="[Measures].[Salida %Eje Anio]" caption="Salida %Eje Anio" measure="1" displayFolder="" measureGroup="Medidas" count="0"/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9">
    <dimension name="BD_Presupuesto" uniqueName="[BD_Presupuesto]" caption="BD_Presupuesto"/>
    <dimension name="BD_Real" uniqueName="[BD_Real]" caption="BD_Real"/>
    <dimension name="Calendario" uniqueName="[Calendario]" caption="Calendario"/>
    <dimension name="Concepto" uniqueName="[Concepto]" caption="Concepto"/>
    <dimension name="Descripcion" uniqueName="[Descripcion]" caption="Descripcion"/>
    <dimension name="Detalle Tipo" uniqueName="[Detalle Tipo]" caption="Detalle Tipo"/>
    <dimension measure="1" name="Measures" uniqueName="[Measures]" caption="Measures"/>
    <dimension name="Medidas" uniqueName="[Medidas]" caption="Medidas"/>
    <dimension name="Modo" uniqueName="[Modo]" caption="Modo"/>
  </dimensions>
  <measureGroups count="8">
    <measureGroup name="BD_Presupuesto" caption="BD_Presupuesto"/>
    <measureGroup name="BD_Real" caption="BD_Real"/>
    <measureGroup name="Calendario" caption="Calendario"/>
    <measureGroup name="Concepto" caption="Concepto"/>
    <measureGroup name="Descripcion" caption="Descripcion"/>
    <measureGroup name="Detalle Tipo" caption="Detalle Tipo"/>
    <measureGroup name="Medidas" caption="Medidas"/>
    <measureGroup name="Modo" caption="Modo"/>
  </measureGroups>
  <maps count="16">
    <map measureGroup="0" dimension="0"/>
    <map measureGroup="0" dimension="2"/>
    <map measureGroup="0" dimension="3"/>
    <map measureGroup="0" dimension="4"/>
    <map measureGroup="0" dimension="5"/>
    <map measureGroup="1" dimension="1"/>
    <map measureGroup="1" dimension="2"/>
    <map measureGroup="1" dimension="3"/>
    <map measureGroup="1" dimension="4"/>
    <map measureGroup="1" dimension="5"/>
    <map measureGroup="2" dimension="2"/>
    <map measureGroup="3" dimension="3"/>
    <map measureGroup="4" dimension="4"/>
    <map measureGroup="5" dimension="5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45138888" backgroundQuery="1" createdVersion="3" refreshedVersion="8" minRefreshableVersion="3" recordCount="0" supportSubquery="1" supportAdvancedDrill="1" xr:uid="{15969221-B36D-47EA-8F4C-54DF99274B29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2" memberValueDatatype="130" unbalanced="0"/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0" memberValueDatatype="20" unbalanced="0"/>
    <cacheHierarchy uniqueName="[Concepto].[Elementos]" caption="Elementos" attribute="1" defaultMemberUniqueName="[Concepto].[Elementos].[All]" allUniqueName="[Concepto].[Elementos].[All]" dimensionUniqueName="[Concepto]" displayFolder="" count="2" memberValueDatatype="130" unbalanced="0"/>
    <cacheHierarchy uniqueName="[Descripcion].[Descripción]" caption="Descripción" attribute="1" defaultMemberUniqueName="[Descripcion].[Descripción].[All]" allUniqueName="[Descripcion].[Descripción].[All]" dimensionUniqueName="[Descripcion]" displayFolder="" count="2" memberValueDatatype="130" unbalanced="0"/>
    <cacheHierarchy uniqueName="[Detalle Tipo].[Elementos]" caption="Elementos" attribute="1" defaultMemberUniqueName="[Detalle Tipo].[Elementos].[All]" allUniqueName="[Detalle Tipo].[Elementos].[All]" dimensionUniqueName="[Detalle Tipo]" displayFolder="" count="2" memberValueDatatype="130" unbalanced="0"/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/>
    <cacheHierarchy uniqueName="[Measures].[Salidas Diarias mes Anterior]" caption="Salidas Diarias mes Anterior" measure="1" displayFolder="" measureGroup="Medidas" count="0"/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/>
    <cacheHierarchy uniqueName="[Measures].[Salida Real]" caption="Salida Real" measure="1" displayFolder="" measureGroup="Medidas" count="0"/>
    <cacheHierarchy uniqueName="[Measures].[Salidas Eje]" caption="Salidas Eje" measure="1" displayFolder="" measureGroup="Medidas" count="0"/>
    <cacheHierarchy uniqueName="[Measures].[% Salida Eje]" caption="% Salida Eje" measure="1" displayFolder="" measureGroup="Medidas" count="0"/>
    <cacheHierarchy uniqueName="[Measures].[Estado]" caption="Estado" measure="1" displayFolder="" measureGroup="Medidas" count="0"/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/>
    <cacheHierarchy uniqueName="[Measures].[Salida Real Anio]" caption="Salida Real Anio" measure="1" displayFolder="" measureGroup="Medidas" count="0"/>
    <cacheHierarchy uniqueName="[Measures].[Salida Eje Anio]" caption="Salida Eje Anio" measure="1" displayFolder="" measureGroup="Medidas" count="0"/>
    <cacheHierarchy uniqueName="[Measures].[Salida %Eje Anio]" caption="Salida %Eje Anio" measure="1" displayFolder="" measureGroup="Medidas" count="0"/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39741415"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ian Aramendi" refreshedDate="46290.679046990743" backgroundQuery="1" createdVersion="3" refreshedVersion="8" minRefreshableVersion="3" recordCount="0" supportSubquery="1" supportAdvancedDrill="1" xr:uid="{65765BE9-2E18-49EC-B45B-D1DC9472D2DF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0">
    <cacheHierarchy uniqueName="[BD_Presupuesto].[Fecha]" caption="Fecha" attribute="1" time="1" defaultMemberUniqueName="[BD_Presupuesto].[Fecha].[All]" allUniqueName="[BD_Presupuesto].[Fecha].[All]" dimensionUniqueName="[BD_Presupuesto]" displayFolder="" count="0" memberValueDatatype="7" unbalanced="0"/>
    <cacheHierarchy uniqueName="[BD_Presupuesto].[Concepto]" caption="Concepto" attribute="1" defaultMemberUniqueName="[BD_Presupuesto].[Concepto].[All]" allUniqueName="[BD_Presupuesto].[Concepto].[All]" dimensionUniqueName="[BD_Presupuesto]" displayFolder="" count="0" memberValueDatatype="130" unbalanced="0"/>
    <cacheHierarchy uniqueName="[BD_Presupuesto].[Detalle]" caption="Detalle" attribute="1" defaultMemberUniqueName="[BD_Presupuesto].[Detalle].[All]" allUniqueName="[BD_Presupuesto].[Detalle].[All]" dimensionUniqueName="[BD_Presupuesto]" displayFolder="" count="0" memberValueDatatype="130" unbalanced="0"/>
    <cacheHierarchy uniqueName="[BD_Presupuesto].[Descripción]" caption="Descripción" attribute="1" defaultMemberUniqueName="[BD_Presupuesto].[Descripción].[All]" allUniqueName="[BD_Presupuesto].[Descripción].[All]" dimensionUniqueName="[BD_Presupuesto]" displayFolder="" count="0" memberValueDatatype="130" unbalanced="0"/>
    <cacheHierarchy uniqueName="[BD_Presupuesto].[Valor]" caption="Valor" attribute="1" defaultMemberUniqueName="[BD_Presupuesto].[Valor].[All]" allUniqueName="[BD_Presupuesto].[Valor].[All]" dimensionUniqueName="[BD_Presupuesto]" displayFolder="" count="0" memberValueDatatype="5" unbalanced="0"/>
    <cacheHierarchy uniqueName="[BD_Real].[Fecha]" caption="Fecha" attribute="1" time="1" defaultMemberUniqueName="[BD_Real].[Fecha].[All]" allUniqueName="[BD_Real].[Fecha].[All]" dimensionUniqueName="[BD_Real]" displayFolder="" count="0" memberValueDatatype="7" unbalanced="0"/>
    <cacheHierarchy uniqueName="[BD_Real].[Concepto]" caption="Concepto" attribute="1" defaultMemberUniqueName="[BD_Real].[Concepto].[All]" allUniqueName="[BD_Real].[Concepto].[All]" dimensionUniqueName="[BD_Real]" displayFolder="" count="0" memberValueDatatype="130" unbalanced="0"/>
    <cacheHierarchy uniqueName="[BD_Real].[Tipo]" caption="Tipo" attribute="1" defaultMemberUniqueName="[BD_Real].[Tipo].[All]" allUniqueName="[BD_Real].[Tipo].[All]" dimensionUniqueName="[BD_Real]" displayFolder="" count="0" memberValueDatatype="130" unbalanced="0"/>
    <cacheHierarchy uniqueName="[BD_Real].[Descripción]" caption="Descripción" attribute="1" defaultMemberUniqueName="[BD_Real].[Descripción].[All]" allUniqueName="[BD_Real].[Descripción].[All]" dimensionUniqueName="[BD_Real]" displayFolder="" count="0" memberValueDatatype="130" unbalanced="0"/>
    <cacheHierarchy uniqueName="[BD_Real].[Valor]" caption="Valor" attribute="1" defaultMemberUniqueName="[BD_Real].[Valor].[All]" allUniqueName="[BD_Real].[Valor].[All]" dimensionUniqueName="[BD_Real]" displayFolder="" count="0" memberValueDatatype="5" unbalanced="0"/>
    <cacheHierarchy uniqueName="[Calendario].[Fechas]" caption="Fechas" attribute="1" time="1" defaultMemberUniqueName="[Calendario].[Fechas].[All]" allUniqueName="[Calendario].[Fechas].[All]" dimensionUniqueName="[Calendario]" displayFolder="" count="2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Semana del año]" caption="Semana del año" attribute="1" defaultMemberUniqueName="[Calendario].[Semana del año].[All]" allUniqueName="[Calendario].[Semana del año].[All]" dimensionUniqueName="[Calendario]" displayFolder="" count="0" memberValueDatatype="20" unbalanced="0"/>
    <cacheHierarchy uniqueName="[Calendario].[Día de la semana]" caption="Día de la semana" attribute="1" defaultMemberUniqueName="[Calendario].[Día de la semana].[All]" allUniqueName="[Calendario].[Día de la semana].[All]" dimensionUniqueName="[Calendario]" displayFolder="" count="0" memberValueDatatype="20" unbalanced="0"/>
    <cacheHierarchy uniqueName="[Calendario].[Nombre del día]" caption="Nombre del día" attribute="1" defaultMemberUniqueName="[Calendario].[Nombre del día].[All]" allUniqueName="[Calendario].[Nombre del día].[All]" dimensionUniqueName="[Calendario]" displayFolder="" count="0" memberValueDatatype="130" unbalanced="0"/>
    <cacheHierarchy uniqueName="[Calendario].[Día]" caption="Día" attribute="1" defaultMemberUniqueName="[Calendario].[Día].[All]" allUniqueName="[Calendario].[Día].[All]" dimensionUniqueName="[Calendario]" displayFolder="" count="0" memberValueDatatype="20" unbalanced="0"/>
    <cacheHierarchy uniqueName="[Concepto].[Elementos]" caption="Elementos" attribute="1" defaultMemberUniqueName="[Concepto].[Elementos].[All]" allUniqueName="[Concepto].[Elementos].[All]" dimensionUniqueName="[Concepto]" displayFolder="" count="0" memberValueDatatype="130" unbalanced="0"/>
    <cacheHierarchy uniqueName="[Descripcion].[Descripción]" caption="Descripción" attribute="1" defaultMemberUniqueName="[Descripcion].[Descripción].[All]" allUniqueName="[Descripcion].[Descripción].[All]" dimensionUniqueName="[Descripcion]" displayFolder="" count="0" memberValueDatatype="130" unbalanced="0"/>
    <cacheHierarchy uniqueName="[Detalle Tipo].[Elementos]" caption="Elementos" attribute="1" defaultMemberUniqueName="[Detalle Tipo].[Elementos].[All]" allUniqueName="[Detalle Tipo].[Elementos].[All]" dimensionUniqueName="[Detalle Tipo]" displayFolder="" count="0" memberValueDatatype="130" unbalanced="0"/>
    <cacheHierarchy uniqueName="[Medidas].[Columna]" caption="Columna" attribute="1" defaultMemberUniqueName="[Medidas].[Columna].[All]" allUniqueName="[Medidas].[Columna].[All]" dimensionUniqueName="[Medidas]" displayFolder="" count="0" memberValueDatatype="130" unbalanced="0"/>
    <cacheHierarchy uniqueName="[Medidas].[Columna calculada 1]" caption="Columna calculada 1" attribute="1" defaultMemberUniqueName="[Medidas].[Columna calculada 1].[All]" allUniqueName="[Medidas].[Columna calculada 1].[All]" dimensionUniqueName="[Medidas]" displayFolder="" count="0" memberValueDatatype="11" unbalanced="0"/>
    <cacheHierarchy uniqueName="[Modo].[Columna1]" caption="Columna1" attribute="1" defaultMemberUniqueName="[Modo].[Columna1].[All]" allUniqueName="[Modo].[Columna1].[All]" dimensionUniqueName="[Modo]" displayFolder="" count="0" memberValueDatatype="130" unbalanced="0"/>
    <cacheHierarchy uniqueName="[Measures].[Ingreso Real]" caption="Ingreso Real" measure="1" displayFolder="" measureGroup="Medidas" count="0"/>
    <cacheHierarchy uniqueName="[Measures].[Ingreso Presupuestado]" caption="Ingreso Presupuestado" measure="1" displayFolder="" measureGroup="Medidas" count="0"/>
    <cacheHierarchy uniqueName="[Measures].[Costo Real]" caption="Costo Real" measure="1" displayFolder="" measureGroup="Medidas" count="0"/>
    <cacheHierarchy uniqueName="[Measures].[Costos Presupuestado]" caption="Costos Presupuestado" measure="1" displayFolder="" measureGroup="Medidas" count="0"/>
    <cacheHierarchy uniqueName="[Measures].[Gastos Real]" caption="Gastos Real" measure="1" displayFolder="" measureGroup="Medidas" count="0"/>
    <cacheHierarchy uniqueName="[Measures].[Gastos Presupuestado]" caption="Gastos Presupuestado" measure="1" displayFolder="" measureGroup="Medidas" count="0"/>
    <cacheHierarchy uniqueName="[Measures].[Egresos Real]" caption="Egresos Real" measure="1" displayFolder="" measureGroup="Medidas" count="0"/>
    <cacheHierarchy uniqueName="[Measures].[Egresos Presupuestado]" caption="Egresos Presupuestado" measure="1" displayFolder="" measureGroup="Medidas" count="0"/>
    <cacheHierarchy uniqueName="[Measures].[Utilidad Real]" caption="Utilidad Real" measure="1" displayFolder="" measureGroup="Medidas" count="0"/>
    <cacheHierarchy uniqueName="[Measures].[Utilidad Presupuestada]" caption="Utilidad Presupuestada" measure="1" displayFolder="" measureGroup="Medidas" count="0"/>
    <cacheHierarchy uniqueName="[Measures].[Salidas Diarias mes]" caption="Salidas Diarias mes" measure="1" displayFolder="" measureGroup="Medidas" count="0"/>
    <cacheHierarchy uniqueName="[Measures].[Salidas Diarias mes Anterior]" caption="Salidas Diarias mes Anterior" measure="1" displayFolder="" measureGroup="Medidas" count="0"/>
    <cacheHierarchy uniqueName="[Measures].[Ingreso Eje]" caption="Ingreso Eje" measure="1" displayFolder="" measureGroup="Medidas" count="0"/>
    <cacheHierarchy uniqueName="[Measures].[Costo Eje]" caption="Costo Eje" measure="1" displayFolder="" measureGroup="Medidas" count="0"/>
    <cacheHierarchy uniqueName="[Measures].[Gasto Eje]" caption="Gasto Eje" measure="1" displayFolder="" measureGroup="Medidas" count="0"/>
    <cacheHierarchy uniqueName="[Measures].[Egreso Eje]" caption="Egreso Eje" measure="1" displayFolder="" measureGroup="Medidas" count="0"/>
    <cacheHierarchy uniqueName="[Measures].[Utilidad Eje]" caption="Utilidad Eje" measure="1" displayFolder="" measureGroup="Medidas" count="0"/>
    <cacheHierarchy uniqueName="[Measures].[% ingreso Eje]" caption="% ingreso Eje" measure="1" displayFolder="" measureGroup="Medidas" count="0"/>
    <cacheHierarchy uniqueName="[Measures].[% Costos Eje]" caption="% Costos Eje" measure="1" displayFolder="" measureGroup="Medidas" count="0"/>
    <cacheHierarchy uniqueName="[Measures].[% Gastos Eje]" caption="% Gastos Eje" measure="1" displayFolder="" measureGroup="Medidas" count="0"/>
    <cacheHierarchy uniqueName="[Measures].[% Egresos Eje]" caption="% Egresos Eje" measure="1" displayFolder="" measureGroup="Medidas" count="0"/>
    <cacheHierarchy uniqueName="[Measures].[Salida presupuestada]" caption="Salida presupuestada" measure="1" displayFolder="" measureGroup="Medidas" count="0"/>
    <cacheHierarchy uniqueName="[Measures].[Salida Real]" caption="Salida Real" measure="1" displayFolder="" measureGroup="Medidas" count="0"/>
    <cacheHierarchy uniqueName="[Measures].[Salidas Eje]" caption="Salidas Eje" measure="1" displayFolder="" measureGroup="Medidas" count="0"/>
    <cacheHierarchy uniqueName="[Measures].[% Salida Eje]" caption="% Salida Eje" measure="1" displayFolder="" measureGroup="Medidas" count="0"/>
    <cacheHierarchy uniqueName="[Measures].[Estado]" caption="Estado" measure="1" displayFolder="" measureGroup="Medidas" count="0"/>
    <cacheHierarchy uniqueName="[Measures].[Anio Ing Real]" caption="Anio Ing Real" measure="1" displayFolder="" measureGroup="Medidas" count="0"/>
    <cacheHierarchy uniqueName="[Measures].[Anio Ing Presu]" caption="Anio Ing Presu" measure="1" displayFolder="" measureGroup="Medidas" count="0"/>
    <cacheHierarchy uniqueName="[Measures].[Anio Costo Real]" caption="Anio Costo Real" measure="1" displayFolder="" measureGroup="Medidas" count="0"/>
    <cacheHierarchy uniqueName="[Measures].[Anio Costo Presu]" caption="Anio Costo Presu" measure="1" displayFolder="" measureGroup="Medidas" count="0"/>
    <cacheHierarchy uniqueName="[Measures].[Anio Gasto Real]" caption="Anio Gasto Real" measure="1" displayFolder="" measureGroup="Medidas" count="0"/>
    <cacheHierarchy uniqueName="[Measures].[Anio Gasto Presu]" caption="Anio Gasto Presu" measure="1" displayFolder="" measureGroup="Medidas" count="0"/>
    <cacheHierarchy uniqueName="[Measures].[Anio Egreso Real]" caption="Anio Egreso Real" measure="1" displayFolder="" measureGroup="Medidas" count="0"/>
    <cacheHierarchy uniqueName="[Measures].[Anio Egreso Presu]" caption="Anio Egreso Presu" measure="1" displayFolder="" measureGroup="Medidas" count="0"/>
    <cacheHierarchy uniqueName="[Measures].[Anio Ingr Eje]" caption="Anio Ingr Eje" measure="1" displayFolder="" measureGroup="Medidas" count="0"/>
    <cacheHierarchy uniqueName="[Measures].[Anio Costo Eje]" caption="Anio Costo Eje" measure="1" displayFolder="" measureGroup="Medidas" count="0"/>
    <cacheHierarchy uniqueName="[Measures].[Anio Gastos eje]" caption="Anio Gastos eje" measure="1" displayFolder="" measureGroup="Medidas" count="0"/>
    <cacheHierarchy uniqueName="[Measures].[Anio Egreso eje]" caption="Anio Egreso eje" measure="1" displayFolder="" measureGroup="Medidas" count="0"/>
    <cacheHierarchy uniqueName="[Measures].[% Anio ingreso Eje]" caption="% Anio ingreso Eje" measure="1" displayFolder="" measureGroup="Medidas" count="0"/>
    <cacheHierarchy uniqueName="[Measures].[% Anio Costos Eje]" caption="% Anio Costos Eje" measure="1" displayFolder="" measureGroup="Medidas" count="0"/>
    <cacheHierarchy uniqueName="[Measures].[% Anio Gastos Eje]" caption="% Anio Gastos Eje" measure="1" displayFolder="" measureGroup="Medidas" count="0"/>
    <cacheHierarchy uniqueName="[Measures].[% Anio Egresos Eje]" caption="% Anio Egresos Eje" measure="1" displayFolder="" measureGroup="Medidas" count="0"/>
    <cacheHierarchy uniqueName="[Measures].[Salida Presupuesto Anio]" caption="Salida Presupuesto Anio" measure="1" displayFolder="" measureGroup="Medidas" count="0"/>
    <cacheHierarchy uniqueName="[Measures].[Salida Real Anio]" caption="Salida Real Anio" measure="1" displayFolder="" measureGroup="Medidas" count="0"/>
    <cacheHierarchy uniqueName="[Measures].[Salida Eje Anio]" caption="Salida Eje Anio" measure="1" displayFolder="" measureGroup="Medidas" count="0"/>
    <cacheHierarchy uniqueName="[Measures].[Salida %Eje Anio]" caption="Salida %Eje Anio" measure="1" displayFolder="" measureGroup="Medidas" count="0"/>
    <cacheHierarchy uniqueName="[Measures].[__XL_Count Calendario]" caption="__XL_Count Calendario" measure="1" displayFolder="" measureGroup="Calendario" count="0" hidden="1"/>
    <cacheHierarchy uniqueName="[Measures].[__XL_Count BD_Presupuesto]" caption="__XL_Count BD_Presupuesto" measure="1" displayFolder="" measureGroup="BD_Presupuesto" count="0" hidden="1"/>
    <cacheHierarchy uniqueName="[Measures].[__XL_Count BD_Real]" caption="__XL_Count BD_Real" measure="1" displayFolder="" measureGroup="BD_Real" count="0" hidden="1"/>
    <cacheHierarchy uniqueName="[Measures].[__XL_Count Medidas]" caption="__XL_Count Medidas" measure="1" displayFolder="" measureGroup="Medidas" count="0" hidden="1"/>
    <cacheHierarchy uniqueName="[Measures].[__XL_Count Detalle Tipo]" caption="__XL_Count Detalle Tipo" measure="1" displayFolder="" measureGroup="Detalle Tipo" count="0" hidden="1"/>
    <cacheHierarchy uniqueName="[Measures].[__XL_Count Concepto]" caption="__XL_Count Concepto" measure="1" displayFolder="" measureGroup="Concepto" count="0" hidden="1"/>
    <cacheHierarchy uniqueName="[Measures].[__XL_Count Modo]" caption="__XL_Count Modo" measure="1" displayFolder="" measureGroup="Modo" count="0" hidden="1"/>
    <cacheHierarchy uniqueName="[Measures].[__XL_Count Descripcion]" caption="__XL_Count Descripcion" measure="1" displayFolder="" measureGroup="Descripcion" count="0" hidden="1"/>
    <cacheHierarchy uniqueName="[Measures].[__No hay medidas definidas]" caption="__No hay medidas definidas" measure="1" displayFolder="" count="0" hidden="1"/>
    <cacheHierarchy uniqueName="[Measures].[Suma de Día]" caption="Suma de Día" measure="1" displayFolder="" measureGroup="Calendario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54805661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D8B8EB-83BC-442F-91E1-5CA5A6A79698}" name="TablaDinámica2" cacheId="1" applyNumberFormats="0" applyBorderFormats="0" applyFontFormats="0" applyPatternFormats="0" applyAlignmentFormats="0" applyWidthHeightFormats="1" dataCaption="Valores" tag="cb3f61e7-bcc6-40eb-8154-73be477416ce" updatedVersion="8" minRefreshableVersion="5" subtotalHiddenItems="1" rowGrandTotals="0" colGrandTotals="0" itemPrintTitles="1" createdVersion="8" indent="0" showHeaders="0" outline="1" outlineData="1" multipleFieldFilters="0">
  <location ref="I22:M34" firstHeaderRow="0" firstDataRow="1" firstDataCol="1"/>
  <pivotFields count="8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resupuesto" fld="4" subtotal="count" baseField="0" baseItem="0"/>
    <dataField name="Diario" fld="1" subtotal="count" baseField="0" baseItem="0"/>
    <dataField name="Ejecución" fld="2" subtotal="count" baseField="0" baseItem="0"/>
    <dataField name="% de Ejecucion" fld="3" subtotal="count" baseField="0" baseItem="0"/>
  </dataFields>
  <formats count="2">
    <format dxfId="32">
      <pivotArea outline="0" collapsedLevelsAreSubtotals="1" fieldPosition="0"/>
    </format>
    <format dxfId="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1">
    <conditionalFormat priority="1">
      <pivotAreas count="1">
        <pivotArea type="data" collapsedLevelsAreSubtotals="1" fieldPosition="0">
          <references count="1"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Hierarchies count="8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Presupuesto"/>
    <pivotHierarchy dragToRow="0" dragToCol="0" dragToPage="0" dragToData="1" caption="Diario"/>
    <pivotHierarchy dragToRow="0" dragToCol="0" dragToPage="0" dragToData="1" caption="Ejecución"/>
    <pivotHierarchy dragToRow="0" dragToCol="0" dragToPage="0" dragToData="1" caption="% de Ejecucio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7 2 2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cepto]"/>
        <x15:activeTabTopLevelEntity name="[Medidas]"/>
        <x15:activeTabTopLevelEntity name="[Detalle Tipo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2AFE3-6242-4604-AFAB-E5EFCA8DAA3F}" name="TablaDinámica1" cacheId="0" applyNumberFormats="0" applyBorderFormats="0" applyFontFormats="0" applyPatternFormats="0" applyAlignmentFormats="0" applyWidthHeightFormats="1" dataCaption="Valores" tag="086f68cb-316a-481c-a7d5-803cb27fec01" updatedVersion="8" minRefreshableVersion="5" subtotalHiddenItems="1" rowGrandTotals="0" colGrandTotals="0" itemPrintTitles="1" createdVersion="8" indent="0" showHeaders="0" outline="1" outlineData="1" multipleFieldFilters="0">
  <location ref="B22:G29" firstHeaderRow="0" firstDataRow="1" firstDataCol="1"/>
  <pivotFields count="7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Presupuesto" fld="2" subtotal="count" baseField="0" baseItem="0"/>
    <dataField name="Diario" fld="1" subtotal="count" baseField="0" baseItem="0"/>
    <dataField name="Ejecución" fld="3" subtotal="count" baseField="0" baseItem="0"/>
    <dataField name="% de Ejecución" fld="4" subtotal="count" baseField="0" baseItem="0"/>
    <dataField fld="5" subtotal="count" baseField="0" baseItem="0"/>
  </dataFields>
  <formats count="1">
    <format dxfId="33">
      <pivotArea dataOnly="0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7">
    <conditionalFormat scope="data" priority="9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15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8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Presupuesto"/>
    <pivotHierarchy dragToRow="0" dragToCol="0" dragToPage="0" dragToData="1" caption="Diario"/>
    <pivotHierarchy dragToRow="0" dragToCol="0" dragToPage="0" dragToData="1" caption="Ejecución"/>
    <pivotHierarchy dragToRow="0" dragToCol="0" dragToPage="0" dragToData="1" caption="% de Ejecució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7 2 2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cepto]"/>
        <x15:activeTabTopLevelEntity name="[Medidas]"/>
        <x15:activeTabTopLevelEntity name="[Detalle Tipo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190DA5-B9A6-40DF-BB76-28E44D36E13A}" name="A la Fecha" cacheId="4" applyNumberFormats="0" applyBorderFormats="0" applyFontFormats="0" applyPatternFormats="0" applyAlignmentFormats="0" applyWidthHeightFormats="1" dataCaption="Valores" tag="4c0932b5-63e3-468d-b17f-4e481a7da375" updatedVersion="8" minRefreshableVersion="5" useAutoFormatting="1" itemPrintTitles="1" createdVersion="8" indent="0" outline="1" outlineData="1" multipleFieldFilters="0">
  <location ref="X15:AA16" firstHeaderRow="0" firstDataRow="1" firstDataCol="0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pivotHierarchies count="8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cepto]"/>
        <x15:activeTabTopLevelEntity name="[Medidas]"/>
        <x15:activeTabTopLevelEntity name="[Detalle Tipo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DA5E7-2BD1-43A8-85B7-96FE39E6C97E}" name="TablaDinámica2" cacheId="2" applyNumberFormats="0" applyBorderFormats="0" applyFontFormats="0" applyPatternFormats="0" applyAlignmentFormats="0" applyWidthHeightFormats="1" dataCaption="Valores" tag="130b912e-ecad-4e69-8ca7-dffc2a933056" updatedVersion="8" minRefreshableVersion="3" useAutoFormatting="1" itemPrintTitles="1" createdVersion="8" indent="0" outline="1" outlineData="1" multipleFieldFilters="0">
  <location ref="X5:AA6" firstHeaderRow="0" firstDataRow="1" firstDataCol="0"/>
  <pivotFields count="7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</dataFields>
  <pivotHierarchies count="8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ncepto]"/>
        <x15:activeTabTopLevelEntity name="[Medidas]"/>
        <x15:activeTabTopLevelEntity name="[Detalle Ti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DE8EE-86AD-4165-BC70-36A676247EED}" name="TD_MAA" cacheId="3" applyNumberFormats="0" applyBorderFormats="0" applyFontFormats="0" applyPatternFormats="0" applyAlignmentFormats="0" applyWidthHeightFormats="1" dataCaption="Valores" tag="c94e5e03-c8a7-4cf2-b2a9-18c99bafa1cb" updatedVersion="8" minRefreshableVersion="3" useAutoFormatting="1" itemPrintTitles="1" createdVersion="8" indent="0" outline="1" outlineData="1" multipleFieldFilters="0" chartFormat="10">
  <location ref="AD4:AF14" firstHeaderRow="0" firstDataRow="1" firstDataCol="1"/>
  <pivotFields count="6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Mes Actual" fld="0" subtotal="count" baseField="0" baseItem="0"/>
    <dataField name="Mes Anterior" fld="1" subtotal="count" baseField="0" baseItem="0"/>
  </dataFields>
  <chartFormats count="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8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es Actual"/>
    <pivotHierarchy dragToRow="0" dragToCol="0" dragToPage="0" dragToData="1" caption="Mes Anterior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Medidas]"/>
        <x15:activeTabTopLevelEntity name="[Concepto]"/>
        <x15:activeTabTopLevelEntity name="[Detalle Tipo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mes" xr10:uid="{4C15CF60-48F7-4645-8268-B1A21273CD16}" sourceName="[Calendario].[Nombre del mes]">
  <pivotTables>
    <pivotTable tabId="10" name="TablaDinámica1"/>
    <pivotTable tabId="5" name="A la Fecha"/>
  </pivotTables>
  <data>
    <olap pivotCacheId="139741415">
      <levels count="2">
        <level uniqueName="[Calendario].[Nombre del mes].[(All)]" sourceCaption="(All)" count="0"/>
        <level uniqueName="[Calendario].[Nombre del mes].[Nombre del mes]" sourceCaption="Nombre del mes" count="12">
          <ranges>
            <range startItem="0">
              <i n="[Calendario].[Nombre del mes].&amp;[enero]" c="enero"/>
              <i n="[Calendario].[Nombre del mes].&amp;[febrero]" c="febrero"/>
              <i n="[Calendario].[Nombre del mes].&amp;[marzo]" c="marzo"/>
              <i n="[Calendario].[Nombre del mes].&amp;[abril]" c="abril"/>
              <i n="[Calendario].[Nombre del mes].&amp;[mayo]" c="mayo"/>
              <i n="[Calendario].[Nombre del mes].&amp;[junio]" c="junio"/>
              <i n="[Calendario].[Nombre del mes].&amp;[julio]" c="julio"/>
              <i n="[Calendario].[Nombre del mes].&amp;[agosto]" c="agosto"/>
              <i n="[Calendario].[Nombre del mes].&amp;[septiembre]" c="septiembre"/>
              <i n="[Calendario].[Nombre del mes].&amp;[octubre]" c="octubre"/>
              <i n="[Calendario].[Nombre del mes].&amp;[noviembre]" c="noviembre"/>
              <i n="[Calendario].[Nombre del mes].&amp;[diciembre]" c="diciembre"/>
            </range>
          </ranges>
        </level>
      </levels>
      <selections count="1">
        <selection n="[Calendario].[Nombre del mes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mentos1" xr10:uid="{8A4B0712-E144-45A5-8E11-C31CED78AF77}" sourceName="[Detalle Tipo].[Elementos]">
  <pivotTables>
    <pivotTable tabId="10" name="TablaDinámica2"/>
    <pivotTable tabId="5" name="A la Fecha"/>
    <pivotTable tabId="5" name="TablaDinámica2"/>
    <pivotTable tabId="5" name="TD_MAA"/>
  </pivotTables>
  <data>
    <olap pivotCacheId="139741415">
      <levels count="2">
        <level uniqueName="[Detalle Tipo].[Elementos].[(All)]" sourceCaption="(All)" count="0"/>
        <level uniqueName="[Detalle Tipo].[Elementos].[Elementos]" sourceCaption="Elementos" count="48">
          <ranges>
            <range startItem="0">
              <i n="[Detalle Tipo].[Elementos].&amp;[Deuda]" c="Deuda"/>
              <i n="[Detalle Tipo].[Elementos].&amp;[Educación]" c="Educación"/>
              <i n="[Detalle Tipo].[Elementos].&amp;[Entretenimiento]" c="Entretenimiento"/>
              <i n="[Detalle Tipo].[Elementos].&amp;[Gasto Personales]" c="Gasto Personales"/>
              <i n="[Detalle Tipo].[Elementos].&amp;[Hogar]" c="Hogar"/>
              <i n="[Detalle Tipo].[Elementos].&amp;[Otros]" c="Otros"/>
              <i n="[Detalle Tipo].[Elementos].&amp;[Transporte]" c="Transporte"/>
              <i n="[Detalle Tipo].[Elementos].&amp;[Ahorro]" c="Ahorro" nd="1"/>
              <i n="[Detalle Tipo].[Elementos].&amp;[Alquiler / Arrendamiento ]" c="Alquiler / Arrendamiento " nd="1"/>
              <i n="[Detalle Tipo].[Elementos].&amp;[Bonos / Incentivos ]" c="Bonos / Incentivos " nd="1"/>
              <i n="[Detalle Tipo].[Elementos].&amp;[Comidas / Entretenimiento De Negocios ]" c="Comidas / Entretenimiento De Negocios " nd="1"/>
              <i n="[Detalle Tipo].[Elementos].&amp;[Comisiones Pagadas ]" c="Comisiones Pagadas " nd="1"/>
              <i n="[Detalle Tipo].[Elementos].&amp;[Comisiones Por Ventas]" c="Comisiones Por Ventas" nd="1"/>
              <i n="[Detalle Tipo].[Elementos].&amp;[Compra De Materia Prima ]" c="Compra De Materia Prima " nd="1"/>
              <i n="[Detalle Tipo].[Elementos].&amp;[Compra De Mercancía ]" c="Compra De Mercancía " nd="1"/>
              <i n="[Detalle Tipo].[Elementos].&amp;[Depreciación ]" c="Depreciación " nd="1"/>
              <i n="[Detalle Tipo].[Elementos].&amp;[Dividendos ]" c="Dividendos " nd="1"/>
              <i n="[Detalle Tipo].[Elementos].&amp;[Embalaje Y Empaques ]" c="Embalaje Y Empaques " nd="1"/>
              <i n="[Detalle Tipo].[Elementos].&amp;[Financieros]" c="Financieros" nd="1"/>
              <i n="[Detalle Tipo].[Elementos].&amp;[Flete De Compras ]" c="Flete De Compras " nd="1"/>
              <i n="[Detalle Tipo].[Elementos].&amp;[Gastos Bancarios ]" c="Gastos Bancarios " nd="1"/>
              <i n="[Detalle Tipo].[Elementos].&amp;[Honorarios Profesionales ]" c="Honorarios Profesionales " nd="1"/>
              <i n="[Detalle Tipo].[Elementos].&amp;[Impuestos ]" c="Impuestos " nd="1"/>
              <i n="[Detalle Tipo].[Elementos].&amp;[Intereses Ganados ]" c="Intereses Ganados " nd="1"/>
              <i n="[Detalle Tipo].[Elementos].&amp;[Internet / Telefonía]" c="Internet / Telefonía" nd="1"/>
              <i n="[Detalle Tipo].[Elementos].&amp;[Mano De Obra Directa ]" c="Mano De Obra Directa " nd="1"/>
              <i n="[Detalle Tipo].[Elementos].&amp;[Mantenimiento ]" c="Mantenimiento " nd="1"/>
              <i n="[Detalle Tipo].[Elementos].&amp;[Papelería Y Útiles De Oficina]" c="Papelería Y Útiles De Oficina" nd="1"/>
              <i n="[Detalle Tipo].[Elementos].&amp;[Parafiscales / Nomina]" c="Parafiscales / Nomina" nd="1"/>
              <i n="[Detalle Tipo].[Elementos].&amp;[Préstamos Recibidos ]" c="Préstamos Recibidos " nd="1"/>
              <i n="[Detalle Tipo].[Elementos].&amp;[Primas ]" c="Primas " nd="1"/>
              <i n="[Detalle Tipo].[Elementos].&amp;[Protecciones Personales]" c="Protecciones Personales" nd="1"/>
              <i n="[Detalle Tipo].[Elementos].&amp;[Publicidad / Marketing ]" c="Publicidad / Marketing " nd="1"/>
              <i n="[Detalle Tipo].[Elementos].&amp;[Reembolsos ]" c="Reembolsos " nd="1"/>
              <i n="[Detalle Tipo].[Elementos].&amp;[Regalías ]" c="Regalías " nd="1"/>
              <i n="[Detalle Tipo].[Elementos].&amp;[Rentas Cobradas ]" c="Rentas Cobradas " nd="1"/>
              <i n="[Detalle Tipo].[Elementos].&amp;[Salarios / Sueldos ]" c="Salarios / Sueldos " nd="1"/>
              <i n="[Detalle Tipo].[Elementos].&amp;[Salarios Administrativos ]" c="Salarios Administrativos " nd="1"/>
              <i n="[Detalle Tipo].[Elementos].&amp;[Seguros ]" c="Seguros " nd="1"/>
              <i n="[Detalle Tipo].[Elementos].&amp;[Servicios Públicos ]" c="Servicios Públicos " nd="1"/>
              <i n="[Detalle Tipo].[Elementos].&amp;[Subsidio De Transporte]" c="Subsidio De Transporte" nd="1"/>
              <i n="[Detalle Tipo].[Elementos].&amp;[Subsidio Familiar]" c="Subsidio Familiar" nd="1"/>
              <i n="[Detalle Tipo].[Elementos].&amp;[Subvenciones / Ayudas ]" c="Subvenciones / Ayudas " nd="1"/>
              <i n="[Detalle Tipo].[Elementos].&amp;[Suscripciones ]" c="Suscripciones " nd="1"/>
              <i n="[Detalle Tipo].[Elementos].&amp;[Venta De Activos ]" c="Venta De Activos " nd="1"/>
              <i n="[Detalle Tipo].[Elementos].&amp;[Ventas De Productos ]" c="Ventas De Productos " nd="1"/>
              <i n="[Detalle Tipo].[Elementos].&amp;[Ventas De Servicios ]" c="Ventas De Servicios " nd="1"/>
              <i n="[Detalle Tipo].[Elementos].&amp;[Viáticos / Transporte ]" c="Viáticos / Transporte " nd="1"/>
            </range>
          </ranges>
        </level>
      </levels>
      <selections count="1">
        <selection n="[Detalle Tipo].[Elemento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etalle Tipo].[Elementos].[Elementos]" count="41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mentos" xr10:uid="{D1E60670-E416-4687-BF59-92D58E25E6B0}" sourceName="[Concepto].[Elementos]">
  <pivotTables>
    <pivotTable tabId="10" name="TablaDinámica2"/>
    <pivotTable tabId="5" name="A la Fecha"/>
    <pivotTable tabId="5" name="TablaDinámica2"/>
    <pivotTable tabId="5" name="TD_MAA"/>
  </pivotTables>
  <data>
    <olap pivotCacheId="139741415">
      <levels count="2">
        <level uniqueName="[Concepto].[Elementos].[(All)]" sourceCaption="(All)" count="0"/>
        <level uniqueName="[Concepto].[Elementos].[Elementos]" sourceCaption="Elementos" count="4">
          <ranges>
            <range startItem="0">
              <i n="[Concepto].[Elementos].&amp;[Egresos]" c="Egresos"/>
              <i n="[Concepto].[Elementos].&amp;[Costos]" c="Costos" nd="1"/>
              <i n="[Concepto].[Elementos].&amp;[Gastos]" c="Gastos" nd="1"/>
              <i n="[Concepto].[Elementos].&amp;[Ingresos]" c="Ingresos" nd="1"/>
            </range>
          </ranges>
        </level>
      </levels>
      <selections count="1">
        <selection n="[Concepto].[Elemento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Concepto].[Elementos].[Elementos]" count="3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ón" xr10:uid="{C0656999-CD23-46C4-BB51-119979B82B40}" sourceName="[Descripcion].[Descripción]">
  <pivotTables>
    <pivotTable tabId="10" name="TablaDinámica2"/>
    <pivotTable tabId="5" name="A la Fecha"/>
    <pivotTable tabId="5" name="TablaDinámica2"/>
    <pivotTable tabId="5" name="TD_MAA"/>
  </pivotTables>
  <data>
    <olap pivotCacheId="139741415">
      <levels count="2">
        <level uniqueName="[Descripcion].[Descripción].[(All)]" sourceCaption="(All)" count="0"/>
        <level uniqueName="[Descripcion].[Descripción].[Descripción]" sourceCaption="Descripción" count="20">
          <ranges>
            <range startItem="0">
              <i n="[Descripcion].[Descripción].&amp;[Agua]" c="Agua"/>
              <i n="[Descripcion].[Descripción].&amp;[Almuerzos Diarios]" c="Almuerzos Diarios"/>
              <i n="[Descripcion].[Descripción].&amp;[Cena]" c="Cena"/>
              <i n="[Descripcion].[Descripción].&amp;[Cursos]" c="Cursos"/>
              <i n="[Descripcion].[Descripción].&amp;[Gimnasio]" c="Gimnasio"/>
              <i n="[Descripcion].[Descripción].&amp;[Icetex]" c="Icetex"/>
              <i n="[Descripcion].[Descripción].&amp;[Impuesto A Los Tontos]" c="Impuesto A Los Tontos"/>
              <i n="[Descripcion].[Descripción].&amp;[Otros]" c="Otros"/>
              <i n="[Descripcion].[Descripción].&amp;[Prueba]" c="Prueba"/>
              <i n="[Descripcion].[Descripción].&amp;[Renta]" c="Renta"/>
              <i n="[Descripcion].[Descripción].&amp;[Sitp / Transmilenio]" c="Sitp / Transmilenio"/>
              <i n="[Descripcion].[Descripción].&amp;[Subscripciones]" c="Subscripciones"/>
              <i n="[Descripcion].[Descripción].&amp;[Taxis]" c="Taxis"/>
              <i n="[Descripcion].[Descripción].&amp;[Video Juegos]" c="Video Juegos"/>
              <i n="[Descripcion].[Descripción].&amp;[Compras Casa]" c="Compras Casa"/>
              <i n="[Descripcion].[Descripción].&amp;[Acciones Ecopetrol]" c="Acciones Ecopetrol" nd="1"/>
              <i n="[Descripcion].[Descripción].&amp;[Llegada Temprano]" c="Llegada Temprano" nd="1"/>
              <i n="[Descripcion].[Descripción].&amp;[Nequi]" c="Nequi" nd="1"/>
              <i n="[Descripcion].[Descripción].&amp;[Trabajitos]" c="Trabajitos" nd="1"/>
              <i n="[Descripcion].[Descripción].&amp;[Trabajo]" c="Trabajo" nd="1"/>
            </range>
          </ranges>
        </level>
      </levels>
      <selections count="1">
        <selection n="[Descripcion].[Descripción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escripcion].[Descripción].[Descripción]" count="5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del mes" xr10:uid="{E676949B-D904-4156-A5F3-B787ADB98023}" cache="SegmentaciónDeDatos_Nombre_del_mes" caption="Mes" columnCount="12" level="1" style="Ejecu" rowHeight="247650"/>
  <slicer name="Elementos 1" xr10:uid="{F6BE88E7-6675-438C-A749-7EB0EDDA740A}" cache="SegmentaciónDeDatos_Elementos1" caption="Detalle" columnCount="2" level="1" style="Ejecu" rowHeight="247650"/>
  <slicer name="Elementos" xr10:uid="{448E4264-B242-4A68-BA89-0AFF1D03A4D4}" cache="SegmentaciónDeDatos_Elementos" caption="Conceptos" columnCount="2" level="1" style="Ejecu" rowHeight="468000"/>
  <slicer name="Descripción" xr10:uid="{D8F463B7-C339-4512-B654-EDD857F89A6A}" cache="SegmentaciónDeDatos_Descripción" caption="Descripción" columnCount="2" level="1" style="Ejecu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ABB80F-9595-41CC-A78A-704BC8C55848}" name="Concepto" displayName="Concepto" ref="B2:B6" totalsRowShown="0" headerRowDxfId="29" dataDxfId="28">
  <autoFilter ref="B2:B6" xr:uid="{B2ABB80F-9595-41CC-A78A-704BC8C55848}"/>
  <tableColumns count="1">
    <tableColumn id="1" xr3:uid="{52527A33-CCF9-45C0-A82B-84EA55621820}" name="Elemento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C23BB5-8BA5-4B7C-954D-75E61439E9DD}" name="Ingresos" displayName="Ingresos" ref="D2:D17" totalsRowShown="0" headerRowDxfId="26" dataDxfId="25">
  <autoFilter ref="D2:D17" xr:uid="{4FC23BB5-8BA5-4B7C-954D-75E61439E9DD}"/>
  <sortState xmlns:xlrd2="http://schemas.microsoft.com/office/spreadsheetml/2017/richdata2" ref="D3:D17">
    <sortCondition ref="D2:D17"/>
  </sortState>
  <tableColumns count="1">
    <tableColumn id="1" xr3:uid="{B7C6164B-C170-4868-AEFE-DAFB312C706F}" name="Elementos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230116-0F8F-4928-8051-B1460D446810}" name="Costos" displayName="Costos" ref="F2:F9" totalsRowShown="0" headerRowDxfId="23" dataDxfId="22">
  <autoFilter ref="F2:F9" xr:uid="{4F230116-0F8F-4928-8051-B1460D446810}"/>
  <sortState xmlns:xlrd2="http://schemas.microsoft.com/office/spreadsheetml/2017/richdata2" ref="F3:F9">
    <sortCondition ref="F2:F9"/>
  </sortState>
  <tableColumns count="1">
    <tableColumn id="1" xr3:uid="{2CC4E9DF-D891-4CB8-9973-3A9023F4F951}" name="Elementos" dataDxfId="2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C32015-54FA-4918-8DEC-EBFA216F1FF1}" name="Gastos" displayName="Gastos" ref="H2:H17" totalsRowShown="0" headerRowDxfId="20" dataDxfId="19">
  <autoFilter ref="H2:H17" xr:uid="{9CC32015-54FA-4918-8DEC-EBFA216F1FF1}"/>
  <sortState xmlns:xlrd2="http://schemas.microsoft.com/office/spreadsheetml/2017/richdata2" ref="H3:H17">
    <sortCondition ref="H2:H17"/>
  </sortState>
  <tableColumns count="1">
    <tableColumn id="1" xr3:uid="{538910DF-843C-4155-B959-F3585D0F7286}" name="Elementos" dataDxfId="1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6ECD05-B329-4EBD-999F-B9CD0D70677C}" name="Egresos" displayName="Egresos" ref="J2:U18" totalsRowShown="0">
  <autoFilter ref="J2:U18" xr:uid="{756ECD05-B329-4EBD-999F-B9CD0D70677C}"/>
  <tableColumns count="12">
    <tableColumn id="1" xr3:uid="{50CA230D-21A1-4FFB-AECD-AC67BC8EEFEA}" name="Elementos"/>
    <tableColumn id="2" xr3:uid="{950E93BC-BABF-4F56-8581-96C2C51836F7}" name="Ahorro" dataDxfId="17"/>
    <tableColumn id="3" xr3:uid="{8A4C2812-F14E-40A9-99CE-9DE47A0EC696}" name="Transporte" dataDxfId="16"/>
    <tableColumn id="4" xr3:uid="{78951799-1153-4E5F-BACF-5EB76E438C50}" name="Gasto personales" dataDxfId="15"/>
    <tableColumn id="5" xr3:uid="{7DA83EE2-94F2-4FA9-8523-432C97D2FA71}" name="Hogar" dataDxfId="14"/>
    <tableColumn id="6" xr3:uid="{C8A6F1EB-1202-4865-9A27-6EEBE1B8447A}" name="Entretenimiento" dataDxfId="13"/>
    <tableColumn id="7" xr3:uid="{945A91F7-F118-4A15-8709-90DB86FAE29A}" name="Protecciones personales" dataDxfId="12"/>
    <tableColumn id="8" xr3:uid="{9EC92606-51F5-44B2-8E76-09CB56F222BD}" name="Parafiscales / nomina" dataDxfId="11"/>
    <tableColumn id="9" xr3:uid="{5611DAD1-DA65-42E0-88DF-EA1759D022BA}" name="Educación" dataDxfId="10"/>
    <tableColumn id="10" xr3:uid="{4F7A68EE-6C66-454B-A3DE-EE4D3D91FD75}" name="Financieros" dataDxfId="9"/>
    <tableColumn id="11" xr3:uid="{62D5C53B-9949-499D-AC2C-CD80D2D9BF93}" name="Deuda"/>
    <tableColumn id="12" xr3:uid="{93649156-0CB3-4ACC-AEBB-B4C052737DA8}" name="Otros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11B447-C048-44F4-9553-F433CFDEA803}" name="BD_Presupuesto" displayName="BD_Presupuesto" ref="A1:F74" totalsRowShown="0" headerRowDxfId="7">
  <autoFilter ref="A1:F74" xr:uid="{2911B447-C048-44F4-9553-F433CFDEA803}"/>
  <tableColumns count="6">
    <tableColumn id="2" xr3:uid="{5C54BB7E-2B13-4F8B-82D4-46D1CE469FCE}" name="Concepto"/>
    <tableColumn id="3" xr3:uid="{08A03778-A652-4104-98BC-CF1935A951DA}" name="Detalle"/>
    <tableColumn id="4" xr3:uid="{00BF4702-CF07-4407-8BF8-3247D6A757E6}" name="Descripción"/>
    <tableColumn id="5" xr3:uid="{839098AA-F496-4FFB-8820-358E0AF5B6CE}" name="Mes"/>
    <tableColumn id="6" xr3:uid="{5EA36FAC-FF4A-4043-AC08-02748F92FA22}" name="Año"/>
    <tableColumn id="7" xr3:uid="{928B487B-225F-4B13-A920-0E7FFDF9DAFD}" name="Valo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007C71-6659-4E56-970D-FB6D5CAB7355}" name="BD_Real" displayName="BD_Real" ref="A1:E17" totalsRowShown="0" headerRowDxfId="6" dataDxfId="5">
  <autoFilter ref="A1:E17" xr:uid="{6C007C71-6659-4E56-970D-FB6D5CAB7355}"/>
  <tableColumns count="5">
    <tableColumn id="1" xr3:uid="{5633DE36-2DA2-4C34-B0C7-51F78199559A}" name="Fecha" dataDxfId="4"/>
    <tableColumn id="2" xr3:uid="{E32F03DE-2859-4156-88C9-76F590C0F2F3}" name="Concepto" dataDxfId="3"/>
    <tableColumn id="3" xr3:uid="{177BC00F-16AC-41EA-992B-D4E0B162A47F}" name="Tipo" dataDxfId="2"/>
    <tableColumn id="4" xr3:uid="{77E7E1E0-DD19-4A3E-9F77-B84FCC821CAA}" name="Descripción" dataDxfId="1"/>
    <tableColumn id="5" xr3:uid="{9CE4BE7E-8506-4EA8-9F84-5C51BF5D666D}" name="Valor" dataDxfId="0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4FBBC0-D0E8-478D-A35C-ED3D1F6C19D8}" name="Modo" displayName="Modo" ref="B3" headerRowCount="0" totalsRowShown="0">
  <tableColumns count="1">
    <tableColumn id="1" xr3:uid="{278F2250-B261-433C-A1A5-AB612F8FF6AD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s" xr10:uid="{7A2739C2-A8E0-47EE-BBA2-424C88A0A356}" sourceName="[Calendario].[Fechas]">
  <pivotTables>
    <pivotTable tabId="10" name="TablaDinámica1"/>
    <pivotTable tabId="10" name="TablaDinámica2"/>
    <pivotTable tabId="5" name="A la Fecha"/>
  </pivotTables>
  <state minimalRefreshVersion="6" lastRefreshVersion="6" pivotCacheId="1548056611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s" xr10:uid="{108BF73E-41F8-47D5-8218-4F1A54D70EAB}" cache="Timeline_Fechas" caption="Año" showSelectionLabel="0" showTimeLevel="0" level="0" selectionLevel="0" scrollPosition="2026-01-01T00:00:00" style="tiempo ejecutado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56" row="12">
    <wetp:webextensionref xmlns:r="http://schemas.openxmlformats.org/officeDocument/2006/relationships" r:id="rId1"/>
  </wetp:taskpane>
  <wetp:taskpane dockstate="right" visibility="0" width="438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85BF701-6247-4C76-AE81-59A98616E4EB}">
  <we:reference id="wa200003696" version="1.3.0.0" store="es-E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B6D3263F-E559-4BF6-B6F7-8A70393CEC9D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F6A1F70-EA48-4DDC-8AED-294FDB12A013}">
  <we:reference id="wa104381504" version="1.0.0.0" store="es-ES" storeType="OMEX"/>
  <we:alternateReferences>
    <we:reference id="WA104381504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925FE-C327-448A-AB48-F31EEA820ABE}">
  <sheetPr codeName="Hoja1"/>
  <dimension ref="A1:U28"/>
  <sheetViews>
    <sheetView showGridLines="0" zoomScale="85" zoomScaleNormal="85" workbookViewId="0">
      <selection activeCell="R4" sqref="R4"/>
    </sheetView>
  </sheetViews>
  <sheetFormatPr baseColWidth="10" defaultColWidth="10.77734375" defaultRowHeight="14.4" x14ac:dyDescent="0.3"/>
  <cols>
    <col min="1" max="1" width="4.21875" style="104" customWidth="1"/>
    <col min="2" max="2" width="17.77734375" style="104" bestFit="1" customWidth="1"/>
    <col min="3" max="3" width="11.77734375" style="104" bestFit="1" customWidth="1"/>
    <col min="4" max="4" width="10.77734375" style="104"/>
    <col min="5" max="5" width="7.6640625" style="104" bestFit="1" customWidth="1"/>
    <col min="6" max="6" width="13.21875" style="104" bestFit="1" customWidth="1"/>
    <col min="7" max="7" width="3" style="104" customWidth="1"/>
    <col min="8" max="8" width="8.77734375" style="104" bestFit="1" customWidth="1"/>
    <col min="9" max="20" width="13" style="104" bestFit="1" customWidth="1"/>
    <col min="21" max="25" width="10.77734375" style="104"/>
    <col min="26" max="26" width="19" style="104" bestFit="1" customWidth="1"/>
    <col min="27" max="16384" width="10.77734375" style="104"/>
  </cols>
  <sheetData>
    <row r="1" spans="1:21" ht="42.6" customHeight="1" x14ac:dyDescent="0.3">
      <c r="B1" s="105"/>
    </row>
    <row r="2" spans="1:21" ht="6" customHeight="1" thickBot="1" x14ac:dyDescent="0.35"/>
    <row r="3" spans="1:21" ht="25.95" customHeight="1" x14ac:dyDescent="0.3">
      <c r="B3" s="154" t="s">
        <v>170</v>
      </c>
      <c r="C3" s="146" t="s">
        <v>0</v>
      </c>
      <c r="D3" s="147"/>
      <c r="E3" s="148"/>
      <c r="F3" s="152">
        <v>2026</v>
      </c>
      <c r="G3" s="106"/>
      <c r="N3" s="107" t="s">
        <v>28</v>
      </c>
      <c r="O3" s="108" t="s">
        <v>178</v>
      </c>
    </row>
    <row r="4" spans="1:21" ht="25.95" customHeight="1" thickBot="1" x14ac:dyDescent="0.35">
      <c r="B4" s="155"/>
      <c r="C4" s="149"/>
      <c r="D4" s="150"/>
      <c r="E4" s="151"/>
      <c r="F4" s="153"/>
      <c r="G4" s="106"/>
      <c r="N4" s="109">
        <v>150000</v>
      </c>
      <c r="O4" s="122" cm="1">
        <f t="array" ref="O4">_xlfn.LET(_xlpm.selector, _xlfn.SWITCH(TRUE, C3 = "Mensual", 12, C3 = "Anual", 1, C3 = "Bimestral", 6, C3 = "trimestral", 4, C3 = "Cuatrimestral", 3, C3 = "Semestral", 2), IF(OR(N4 = 0, N4 = ""), "Ingrese un valor", _xlpm.selector * N4))</f>
        <v>1800000</v>
      </c>
    </row>
    <row r="5" spans="1:21" ht="3" customHeight="1" x14ac:dyDescent="0.3"/>
    <row r="6" spans="1:21" ht="15" thickBot="1" x14ac:dyDescent="0.35">
      <c r="B6" s="156" t="str">
        <f>"Distribución: " &amp; IF(E6, "Automatico", "Manual")</f>
        <v>Distribución: Automatico</v>
      </c>
      <c r="C6" s="156"/>
      <c r="D6" s="156"/>
      <c r="E6" s="110" t="b">
        <v>1</v>
      </c>
      <c r="F6" s="111"/>
    </row>
    <row r="7" spans="1:21" ht="18.600000000000001" thickBot="1" x14ac:dyDescent="0.4">
      <c r="A7" s="112"/>
      <c r="B7" s="157" t="s">
        <v>18</v>
      </c>
      <c r="C7" s="158"/>
      <c r="D7" s="159"/>
      <c r="E7" s="144">
        <v>1</v>
      </c>
      <c r="F7" s="145"/>
      <c r="G7" s="94"/>
    </row>
    <row r="8" spans="1:21" ht="18.600000000000001" thickBot="1" x14ac:dyDescent="0.4">
      <c r="A8" s="112"/>
      <c r="B8" s="160" t="s">
        <v>25</v>
      </c>
      <c r="C8" s="161"/>
      <c r="D8" s="162"/>
      <c r="E8" s="170" t="s">
        <v>42</v>
      </c>
      <c r="F8" s="171"/>
      <c r="G8" s="113"/>
    </row>
    <row r="9" spans="1:21" ht="48.6" customHeight="1" thickBot="1" x14ac:dyDescent="0.35">
      <c r="A9" s="112"/>
      <c r="B9" s="163" t="s">
        <v>26</v>
      </c>
      <c r="C9" s="164"/>
      <c r="D9" s="165"/>
      <c r="E9" s="172" t="s">
        <v>52</v>
      </c>
      <c r="F9" s="173"/>
      <c r="G9" s="114"/>
      <c r="H9" s="120" t="str" cm="1">
        <f t="array" ref="H9:T12">_xlfn.LET(_xlpm.Lista_Meses,{"Enero";"Febrero";"Marzo";"Abril";"Mayo";"Junio";"Julio";"Agosto";"Septiembre";"Octubre";"Noviembre";"Diciembre"},_xlpm.Año_P,F3,_xlpm.Mes_presupuesto,_xlfn.UNIQUE(BD_Presupuesto[Mes]),_xlpm.Ordenar_mes,MATCH(_xlpm.Mes_presupuesto,_xlpm.Lista_Meses,0),_xlpm.Meses_Ordenados,_xlfn.SORTBY(_xlpm.Mes_presupuesto,_xlpm.Ordenar_mes,1),_xlpm.Conceptos_P,_xlfn.UNIQUE(BD_Presupuesto[Concepto]),_xlpm.Orden_Conceptos,MATCH(_xlpm.Conceptos_P,BD_Presupuesto[Concepto],0),_xlpm.Conceptos_Ordenados,_xlfn.SORTBY(_xlpm.Conceptos_P,_xlpm.Orden_Conceptos,1),_xlpm.Valores_detalle,_xlfn.MAKEARRAY(ROWS(_xlpm.Conceptos_Ordenados),ROWS(_xlpm.Meses_Ordenados),_xlfn.LAMBDA(_xlpm.f,_xlpm.c,_xlfn.LET(_xlpm.concepto_actual,INDEX(_xlpm.Conceptos_Ordenados,_xlpm.f),_xlpm.mes_actual,INDEX(_xlpm.Meses_Ordenados,_xlpm.c),SUMPRODUCT(BD_Presupuesto[Valor]*(BD_Presupuesto[Año]=_xlpm.Año_P)*(BD_Presupuesto[Concepto]=_xlpm.concepto_actual)*(BD_Presupuesto[Mes]=_xlpm.mes_actual))))),_xlpm.Valores_Utilidad,_xlfn.MAKEARRAY(1,ROWS(_xlpm.Meses_Ordenados),_xlfn.LAMBDA(_xlpm.fil,_xlpm.col,_xlfn.LET(_xlpm.mes_actual,INDEX(_xlpm.Meses_Ordenados,_xlpm.col),SUMPRODUCT(BD_Presupuesto[Valor]*(BD_Presupuesto[Concepto]="Ingresos")*(BD_Presupuesto[Año]=_xlpm.Año_P)*(BD_Presupuesto[Mes]=_xlpm.mes_actual))-SUMPRODUCT(BD_Presupuesto[Valor]*(BD_Presupuesto[Concepto]&lt;&gt;"Ingresos")*(BD_Presupuesto[Año]=_xlpm.Año_P)*(BD_Presupuesto[Mes]=_xlpm.mes_actual))))),_xlpm.Encabezado,_xlfn.HSTACK("Concepto",_xlfn.TOROW(_xlpm.Meses_Ordenados)),_xlpm.resultado,_xlfn.VSTACK(_xlpm.Encabezado,_xlfn.HSTACK(_xlpm.Conceptos_Ordenados,_xlpm.Valores_detalle),_xlfn.HSTACK("Utilidad",_xlpm.Valores_Utilidad)),_xlpm.resultado)</f>
        <v>Concepto</v>
      </c>
      <c r="I9" s="120" t="str">
        <v>Enero</v>
      </c>
      <c r="J9" s="120" t="str">
        <v>Febrero</v>
      </c>
      <c r="K9" s="120" t="str">
        <v>Marzo</v>
      </c>
      <c r="L9" s="120" t="str">
        <v>Abril</v>
      </c>
      <c r="M9" s="120" t="str">
        <v>Mayo</v>
      </c>
      <c r="N9" s="120" t="str">
        <v>Junio</v>
      </c>
      <c r="O9" s="120" t="str">
        <v>Julio</v>
      </c>
      <c r="P9" s="120" t="str">
        <v>Agosto</v>
      </c>
      <c r="Q9" s="120" t="str">
        <v>Septiembre</v>
      </c>
      <c r="R9" s="120" t="str">
        <v>Octubre</v>
      </c>
      <c r="S9" s="120" t="str">
        <v>Noviembre</v>
      </c>
      <c r="T9" s="120" t="str">
        <v>Diciembre</v>
      </c>
      <c r="U9" s="123"/>
    </row>
    <row r="10" spans="1:21" x14ac:dyDescent="0.3">
      <c r="A10" s="112"/>
      <c r="B10" s="166" t="s">
        <v>171</v>
      </c>
      <c r="C10" s="167"/>
      <c r="D10" s="174" t="s">
        <v>167</v>
      </c>
      <c r="E10" s="175"/>
      <c r="F10" s="176"/>
      <c r="H10" s="124" t="str">
        <v>Ingresos</v>
      </c>
      <c r="I10" s="124">
        <v>3500000</v>
      </c>
      <c r="J10" s="124">
        <v>3500000</v>
      </c>
      <c r="K10" s="124">
        <v>4000000</v>
      </c>
      <c r="L10" s="124">
        <v>3500000</v>
      </c>
      <c r="M10" s="124">
        <v>3500000</v>
      </c>
      <c r="N10" s="124">
        <v>5000000</v>
      </c>
      <c r="O10" s="124">
        <v>3500000</v>
      </c>
      <c r="P10" s="124">
        <v>3500000</v>
      </c>
      <c r="Q10" s="124">
        <v>4000000</v>
      </c>
      <c r="R10" s="124">
        <v>3500000</v>
      </c>
      <c r="S10" s="124">
        <v>3500000</v>
      </c>
      <c r="T10" s="124">
        <v>5000000</v>
      </c>
      <c r="U10" s="125"/>
    </row>
    <row r="11" spans="1:21" ht="15" thickBot="1" x14ac:dyDescent="0.35">
      <c r="A11" s="112"/>
      <c r="B11" s="168"/>
      <c r="C11" s="169"/>
      <c r="D11" s="177"/>
      <c r="E11" s="178"/>
      <c r="F11" s="179"/>
      <c r="H11" s="124" t="str">
        <v>Egresos</v>
      </c>
      <c r="I11" s="124">
        <v>1211000</v>
      </c>
      <c r="J11" s="124">
        <v>1361000</v>
      </c>
      <c r="K11" s="124">
        <v>1211000</v>
      </c>
      <c r="L11" s="124">
        <v>1361000</v>
      </c>
      <c r="M11" s="124">
        <v>1211000</v>
      </c>
      <c r="N11" s="124">
        <v>1361000</v>
      </c>
      <c r="O11" s="124">
        <v>1211000</v>
      </c>
      <c r="P11" s="124">
        <v>1611000</v>
      </c>
      <c r="Q11" s="124">
        <v>1271000</v>
      </c>
      <c r="R11" s="124">
        <v>14361000</v>
      </c>
      <c r="S11" s="124">
        <v>1211000</v>
      </c>
      <c r="T11" s="124">
        <v>1361000</v>
      </c>
      <c r="U11" s="125"/>
    </row>
    <row r="12" spans="1:21" ht="14.4" customHeight="1" x14ac:dyDescent="0.3">
      <c r="A12" s="112"/>
      <c r="B12" s="136" t="s">
        <v>28</v>
      </c>
      <c r="C12" s="137"/>
      <c r="D12" s="140">
        <v>85770</v>
      </c>
      <c r="E12" s="141"/>
      <c r="F12" s="116"/>
      <c r="G12" s="94"/>
      <c r="H12" s="124" t="str">
        <v>Utilidad</v>
      </c>
      <c r="I12" s="124">
        <v>2289000</v>
      </c>
      <c r="J12" s="124">
        <v>2139000</v>
      </c>
      <c r="K12" s="124">
        <v>2789000</v>
      </c>
      <c r="L12" s="124">
        <v>2139000</v>
      </c>
      <c r="M12" s="124">
        <v>2289000</v>
      </c>
      <c r="N12" s="124">
        <v>3639000</v>
      </c>
      <c r="O12" s="124">
        <v>2289000</v>
      </c>
      <c r="P12" s="124">
        <v>1889000</v>
      </c>
      <c r="Q12" s="124">
        <v>2729000</v>
      </c>
      <c r="R12" s="124">
        <v>-10861000</v>
      </c>
      <c r="S12" s="124">
        <v>2289000</v>
      </c>
      <c r="T12" s="124">
        <v>3639000</v>
      </c>
      <c r="U12" s="125"/>
    </row>
    <row r="13" spans="1:21" ht="15" thickBot="1" x14ac:dyDescent="0.35">
      <c r="A13" s="112"/>
      <c r="B13" s="138"/>
      <c r="C13" s="139"/>
      <c r="D13" s="142"/>
      <c r="E13" s="143"/>
      <c r="G13" s="94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</row>
    <row r="14" spans="1:21" x14ac:dyDescent="0.3">
      <c r="G14" s="94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</row>
    <row r="15" spans="1:21" ht="1.95" customHeight="1" x14ac:dyDescent="0.3"/>
    <row r="16" spans="1:21" x14ac:dyDescent="0.3">
      <c r="B16" s="121" t="s">
        <v>19</v>
      </c>
      <c r="C16" s="118" t="str">
        <f>IF(AND(C3 = "Mensual", NOT(E6)), "", "Valor")</f>
        <v>Valor</v>
      </c>
      <c r="D16" s="118" t="str">
        <f>IF(AND(C3 = "Mensual", NOT(E6)), "", "Marcador A")</f>
        <v>Marcador A</v>
      </c>
      <c r="E16" s="118" t="str">
        <f>IF(AND(C3 = "Mensual", NOT(E6)), "Manual", "")</f>
        <v/>
      </c>
      <c r="F16" s="119" t="str">
        <f>IF(AND(C3 = "Mensual", NOT(E6)), "Valor Manual", "")</f>
        <v/>
      </c>
    </row>
    <row r="17" spans="2:20" x14ac:dyDescent="0.3">
      <c r="B17" s="96" t="str" cm="1">
        <f t="array" ref="B17:B28">_xlfn.LET(_xlpm.periodo, C3, _xlpm.frec, IF(_xlpm.periodo = "Mensual", 1, E7), _xlpm.largo, _xlfn.SWITCH(_xlpm.periodo, "Mensual", 1, "Bimestral", 2, "Trimestral", 3, "Cuatrimestral", 4, "Semestral", 6, "Anual", 12), _xlpm.meses, {"Enero";"Febrero";"Marzo";"Abril";"Mayo";"Junio";"Julio";"Agosto";"Septiembre";"Octubre";"Noviembre";"Diciembre"}, _xlpm.nums, _xlfn.SEQUENCE(12), _xlpm.F_meses, _xlfn._xlws.FILTER(_xlpm.meses, MOD(_xlpm.nums - 1, _xlpm.largo) + 1 = _xlpm.frec), IFERROR(_xlpm.F_meses, "Cambie la secuencia"))</f>
        <v>Enero</v>
      </c>
      <c r="C17" s="97" cm="1">
        <f t="array" ref="C17:C28">_xlfn.LET(_xlpm.L_Mes, COUNTA(_xlfn.ANCHORARRAY(B17)), _xlpm.Monto, D12, _xlpm.resultado, IF(_xlfn.ANCHORARRAY(D17) = TRUE(), _xlpm.Monto / _xlpm.L_Mes, 0), IF(AND(C3 = "Mensual", NOT(E6)), "", _xlpm.resultado))</f>
        <v>7147.5</v>
      </c>
      <c r="D17" s="98" t="b" cm="1">
        <f t="array" ref="D17:D28">_xlfn.LET(_xlpm.periodo, C3, _xlpm.selector, _xlfn.SWITCH(_xlpm.periodo, "Mensual", 12, "Bimestral", 6, "Trimestral", 4, "Cuatrimestral", 3, "Semestral", 2, "Anual", 1), _xlpm.resultado, _xlfn.SWITCH(TRUE, ISNUMBER(_xlfn.SEQUENCE(_xlpm.selector)), TRUE), IF(AND(C3 = "Mensual", NOT(E6)), "", _xlpm.resultado))</f>
        <v>1</v>
      </c>
      <c r="E17" s="95" t="b">
        <v>0</v>
      </c>
      <c r="F17" s="97" t="str">
        <f>_xlfn.LET(_xlpm.L_Mes, COUNTIF($E$17:$E$28, TRUE), _xlpm.Monto, $D$12, _xlpm.resultado, IF(E17 = TRUE(), _xlpm.Monto / _xlpm.L_Mes, 0), IF(AND($C$3 = "Mensual", NOT($E$6)), _xlpm.resultado, ""))</f>
        <v/>
      </c>
    </row>
    <row r="18" spans="2:20" x14ac:dyDescent="0.3">
      <c r="B18" s="96" t="str">
        <v>Febrero</v>
      </c>
      <c r="C18" s="97">
        <v>7147.5</v>
      </c>
      <c r="D18" s="98" t="b">
        <v>1</v>
      </c>
      <c r="E18" s="95" t="b">
        <v>0</v>
      </c>
      <c r="F18" s="97" t="str">
        <f t="shared" ref="F18:F28" si="0">_xlfn.LET(_xlpm.L_Mes, COUNTIF($E$17:$E$28, TRUE), _xlpm.Monto, $D$12, _xlpm.resultado, IF(E18 = TRUE(), _xlpm.Monto / _xlpm.L_Mes, 0), IF(AND($C$3 = "Mensual", NOT($E$6)), _xlpm.resultado, ""))</f>
        <v/>
      </c>
    </row>
    <row r="19" spans="2:20" x14ac:dyDescent="0.3">
      <c r="B19" s="96" t="str">
        <v>Marzo</v>
      </c>
      <c r="C19" s="97">
        <v>7147.5</v>
      </c>
      <c r="D19" s="98" t="b">
        <v>1</v>
      </c>
      <c r="E19" s="95" t="b">
        <v>0</v>
      </c>
      <c r="F19" s="97" t="str">
        <f t="shared" si="0"/>
        <v/>
      </c>
    </row>
    <row r="20" spans="2:20" x14ac:dyDescent="0.3">
      <c r="B20" s="96" t="str">
        <v>Abril</v>
      </c>
      <c r="C20" s="97">
        <v>7147.5</v>
      </c>
      <c r="D20" s="98" t="b">
        <v>1</v>
      </c>
      <c r="E20" s="95" t="b">
        <v>0</v>
      </c>
      <c r="F20" s="97" t="str">
        <f t="shared" si="0"/>
        <v/>
      </c>
      <c r="H20" s="117"/>
    </row>
    <row r="21" spans="2:20" x14ac:dyDescent="0.3">
      <c r="B21" s="96" t="str">
        <v>Mayo</v>
      </c>
      <c r="C21" s="97">
        <v>7147.5</v>
      </c>
      <c r="D21" s="98" t="b">
        <v>1</v>
      </c>
      <c r="E21" s="95" t="b">
        <v>0</v>
      </c>
      <c r="F21" s="97" t="str">
        <f t="shared" si="0"/>
        <v/>
      </c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</row>
    <row r="22" spans="2:20" x14ac:dyDescent="0.3">
      <c r="B22" s="96" t="str">
        <v>Junio</v>
      </c>
      <c r="C22" s="97">
        <v>7147.5</v>
      </c>
      <c r="D22" s="98" t="b">
        <v>1</v>
      </c>
      <c r="E22" s="95" t="b">
        <v>0</v>
      </c>
      <c r="F22" s="97" t="str">
        <f t="shared" si="0"/>
        <v/>
      </c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</row>
    <row r="23" spans="2:20" x14ac:dyDescent="0.3">
      <c r="B23" s="96" t="str">
        <v>Julio</v>
      </c>
      <c r="C23" s="97">
        <v>7147.5</v>
      </c>
      <c r="D23" s="98" t="b">
        <v>1</v>
      </c>
      <c r="E23" s="95" t="b">
        <v>0</v>
      </c>
      <c r="F23" s="97" t="str">
        <f t="shared" si="0"/>
        <v/>
      </c>
    </row>
    <row r="24" spans="2:20" x14ac:dyDescent="0.3">
      <c r="B24" s="96" t="str">
        <v>Agosto</v>
      </c>
      <c r="C24" s="97">
        <v>7147.5</v>
      </c>
      <c r="D24" s="98" t="b">
        <v>1</v>
      </c>
      <c r="E24" s="95" t="b">
        <v>0</v>
      </c>
      <c r="F24" s="97" t="str">
        <f t="shared" si="0"/>
        <v/>
      </c>
    </row>
    <row r="25" spans="2:20" x14ac:dyDescent="0.3">
      <c r="B25" s="96" t="str">
        <v>Septiembre</v>
      </c>
      <c r="C25" s="97">
        <v>7147.5</v>
      </c>
      <c r="D25" s="98" t="b">
        <v>1</v>
      </c>
      <c r="E25" s="95" t="b">
        <v>0</v>
      </c>
      <c r="F25" s="97" t="str">
        <f t="shared" si="0"/>
        <v/>
      </c>
    </row>
    <row r="26" spans="2:20" x14ac:dyDescent="0.3">
      <c r="B26" s="96" t="str">
        <v>Octubre</v>
      </c>
      <c r="C26" s="97">
        <v>7147.5</v>
      </c>
      <c r="D26" s="98" t="b">
        <v>1</v>
      </c>
      <c r="E26" s="95" t="b">
        <v>0</v>
      </c>
      <c r="F26" s="97" t="str">
        <f t="shared" si="0"/>
        <v/>
      </c>
    </row>
    <row r="27" spans="2:20" x14ac:dyDescent="0.3">
      <c r="B27" s="96" t="str">
        <v>Noviembre</v>
      </c>
      <c r="C27" s="97">
        <v>7147.5</v>
      </c>
      <c r="D27" s="98" t="b">
        <v>1</v>
      </c>
      <c r="E27" s="95" t="b">
        <v>0</v>
      </c>
      <c r="F27" s="97" t="str">
        <f t="shared" si="0"/>
        <v/>
      </c>
    </row>
    <row r="28" spans="2:20" x14ac:dyDescent="0.3">
      <c r="B28" s="96" t="str">
        <v>Diciembre</v>
      </c>
      <c r="C28" s="97">
        <v>7147.5</v>
      </c>
      <c r="D28" s="98" t="b">
        <v>1</v>
      </c>
      <c r="E28" s="95" t="b">
        <v>0</v>
      </c>
      <c r="F28" s="97" t="str">
        <f t="shared" si="0"/>
        <v/>
      </c>
    </row>
  </sheetData>
  <sheetProtection algorithmName="SHA-512" hashValue="01dLTLpjLy9WRyHCJSbeCNEHNXKrEkOQOgQr/ed3IyWj3Jj4zosNngOW84eaRC0oWzoYr2cL6yaYCyfl+qs0RQ==" saltValue="KT4U+UF9bvXp729Yxc1qfw==" spinCount="100000" sheet="1" objects="1" scenarios="1"/>
  <mergeCells count="14">
    <mergeCell ref="B12:C13"/>
    <mergeCell ref="D12:E13"/>
    <mergeCell ref="E7:F7"/>
    <mergeCell ref="C3:E4"/>
    <mergeCell ref="F3:F4"/>
    <mergeCell ref="B3:B4"/>
    <mergeCell ref="B6:D6"/>
    <mergeCell ref="B7:D7"/>
    <mergeCell ref="B8:D8"/>
    <mergeCell ref="B9:D9"/>
    <mergeCell ref="B10:C11"/>
    <mergeCell ref="E8:F8"/>
    <mergeCell ref="E9:F9"/>
    <mergeCell ref="D10:F11"/>
  </mergeCells>
  <phoneticPr fontId="2" type="noConversion"/>
  <conditionalFormatting sqref="D17:D28">
    <cfRule type="expression" dxfId="61" priority="17">
      <formula>B17=""</formula>
    </cfRule>
  </conditionalFormatting>
  <conditionalFormatting sqref="E17:E28">
    <cfRule type="expression" dxfId="60" priority="15">
      <formula>NOT(AND($C$3="Mensual",NOT($E$6)))</formula>
    </cfRule>
  </conditionalFormatting>
  <conditionalFormatting sqref="B17:B28">
    <cfRule type="expression" dxfId="59" priority="14">
      <formula>B17&lt;&gt;""</formula>
    </cfRule>
  </conditionalFormatting>
  <conditionalFormatting sqref="C17:C28">
    <cfRule type="expression" dxfId="58" priority="13">
      <formula>C17&lt;&gt;""</formula>
    </cfRule>
  </conditionalFormatting>
  <conditionalFormatting sqref="D17:D28">
    <cfRule type="expression" dxfId="57" priority="12">
      <formula>D17&lt;&gt;""</formula>
    </cfRule>
  </conditionalFormatting>
  <conditionalFormatting sqref="H10:T17">
    <cfRule type="expression" dxfId="56" priority="3">
      <formula>AND($H10="Utilidad",H10&lt;0)</formula>
    </cfRule>
    <cfRule type="expression" dxfId="55" priority="7">
      <formula>$H10="Utilidad"</formula>
    </cfRule>
  </conditionalFormatting>
  <conditionalFormatting sqref="H10:T12">
    <cfRule type="expression" dxfId="54" priority="8">
      <formula>H10&lt;&gt;""</formula>
    </cfRule>
  </conditionalFormatting>
  <conditionalFormatting sqref="I10:T12">
    <cfRule type="expression" dxfId="53" priority="24">
      <formula>I$9=TEXT(TODAY(),"mmmm")</formula>
    </cfRule>
  </conditionalFormatting>
  <conditionalFormatting sqref="H9:T9">
    <cfRule type="expression" dxfId="52" priority="4">
      <formula>H$9&lt;&gt;""</formula>
    </cfRule>
  </conditionalFormatting>
  <conditionalFormatting sqref="C16:D16">
    <cfRule type="expression" dxfId="51" priority="2">
      <formula>$E$6</formula>
    </cfRule>
  </conditionalFormatting>
  <conditionalFormatting sqref="E16:F16">
    <cfRule type="expression" dxfId="50" priority="1">
      <formula>NOT($E$6)</formula>
    </cfRule>
  </conditionalFormatting>
  <dataValidations count="6">
    <dataValidation type="list" allowBlank="1" showInputMessage="1" showErrorMessage="1" sqref="C3" xr:uid="{8C41B0B8-9400-45B7-89B2-9049E63D8DD6}">
      <formula1>"Mensual,Bimestral,Trimestral,Cuatrimestral,Semestral,Anual"</formula1>
    </dataValidation>
    <dataValidation type="list" allowBlank="1" showInputMessage="1" showErrorMessage="1" sqref="E8:F8" xr:uid="{1E85A173-5BB6-43E0-A412-61B66DDE2829}">
      <formula1>INDIRECT("Concepto")</formula1>
    </dataValidation>
    <dataValidation allowBlank="1" showInputMessage="1" showErrorMessage="1" prompt="Este modo solo aplica para la periocidad mensual" sqref="E6" xr:uid="{1F78443C-58A0-4720-A6EC-369C4BEF66A9}"/>
    <dataValidation type="list" allowBlank="1" showInputMessage="1" showErrorMessage="1" sqref="E9:F9" xr:uid="{5A9D62DA-3879-4E69-9273-A6DE098C5A3B}">
      <formula1>INDIRECT(E8&amp;"[Elementos]")</formula1>
    </dataValidation>
    <dataValidation type="list" allowBlank="1" showInputMessage="1" sqref="D10:E11 F10" xr:uid="{836ACD5B-E685-4DD1-A214-D2FC5D313C4C}">
      <formula1>INDIRECT(E8&amp;"["&amp;E9&amp;"]")</formula1>
    </dataValidation>
    <dataValidation type="list" allowBlank="1" showInputMessage="1" sqref="F11" xr:uid="{CFE5D59D-1970-49E9-8BB5-883A59244404}">
      <formula1>INDIRECT(G9&amp;"["&amp;#REF!&amp;"]")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0D3E9B-7F0A-48FF-AB2A-C2E333326313}">
          <x14:formula1>
            <xm:f>_xlfn.ANCHORARRAY(Auxiliar!$B$8)</xm:f>
          </x14:formula1>
          <xm:sqref>E7:F7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B9ED3-6BAB-4FEA-BFAD-760A4EDD70EE}">
  <sheetPr codeName="Hoja4"/>
  <dimension ref="A4:T50"/>
  <sheetViews>
    <sheetView topLeftCell="A4" zoomScale="85" zoomScaleNormal="85" workbookViewId="0">
      <selection activeCell="D9" sqref="D9:E9"/>
    </sheetView>
  </sheetViews>
  <sheetFormatPr baseColWidth="10" defaultColWidth="10.77734375" defaultRowHeight="14.4" x14ac:dyDescent="0.3"/>
  <cols>
    <col min="1" max="1" width="10.77734375" style="99"/>
    <col min="2" max="2" width="18.88671875" style="99" customWidth="1"/>
    <col min="3" max="3" width="14.6640625" style="99" bestFit="1" customWidth="1"/>
    <col min="4" max="17" width="10.77734375" style="99"/>
    <col min="18" max="19" width="10.77734375" style="99" customWidth="1"/>
    <col min="20" max="16384" width="10.77734375" style="99"/>
  </cols>
  <sheetData>
    <row r="4" spans="1:20" ht="15" thickBot="1" x14ac:dyDescent="0.35"/>
    <row r="5" spans="1:20" x14ac:dyDescent="0.3">
      <c r="A5" s="195" t="s">
        <v>182</v>
      </c>
      <c r="B5" s="197">
        <f ca="1">TODAY()</f>
        <v>46292</v>
      </c>
      <c r="C5" s="100"/>
      <c r="D5" s="100"/>
      <c r="E5" s="100"/>
    </row>
    <row r="6" spans="1:20" ht="15" thickBot="1" x14ac:dyDescent="0.35">
      <c r="A6" s="196"/>
      <c r="B6" s="198"/>
      <c r="C6" s="100"/>
      <c r="D6" s="100"/>
      <c r="E6" s="100"/>
    </row>
    <row r="7" spans="1:20" ht="7.8" customHeight="1" thickBot="1" x14ac:dyDescent="0.35">
      <c r="A7" s="100"/>
      <c r="B7" s="100"/>
      <c r="C7" s="100"/>
      <c r="D7" s="100"/>
      <c r="E7" s="100"/>
    </row>
    <row r="8" spans="1:20" ht="21.6" thickBot="1" x14ac:dyDescent="0.45">
      <c r="A8" s="199" t="s">
        <v>25</v>
      </c>
      <c r="B8" s="200"/>
      <c r="C8" s="200"/>
      <c r="D8" s="201" t="s">
        <v>42</v>
      </c>
      <c r="E8" s="202"/>
    </row>
    <row r="9" spans="1:20" ht="31.8" customHeight="1" thickBot="1" x14ac:dyDescent="0.35">
      <c r="A9" s="203" t="s">
        <v>26</v>
      </c>
      <c r="B9" s="204"/>
      <c r="C9" s="204"/>
      <c r="D9" s="205"/>
      <c r="E9" s="206"/>
    </row>
    <row r="10" spans="1:20" ht="54.6" x14ac:dyDescent="0.3">
      <c r="A10" s="183" t="s">
        <v>171</v>
      </c>
      <c r="B10" s="184"/>
      <c r="C10" s="187"/>
      <c r="D10" s="187"/>
      <c r="E10" s="188"/>
      <c r="G10" s="102" t="str" cm="1">
        <f t="array" aca="1" ref="G10:K13" ca="1">_xlfn.LET(_xlpm.Lista_Meses, {"Enero";"Febrero";"Marzo";"Abril";"Mayo";"Junio";"Julio";"Agosto";"Septiembre";"Octubre";"Noviembre";"Diciembre"}, _xlpm.Año_P, YEAR(TODAY()), _xlpm.Mes_presupuesto, _xlfn.UNIQUE(TEXT(DATE(_xlpm.Año_P, _xlfn._xlws.SORT(MONTH(BD_Real[Fecha])), 1), "MMMM")), _xlpm.Ordenar_mes, MATCH(_xlpm.Mes_presupuesto, _xlpm.Lista_Meses, 0), _xlpm.Meses_Ordenados, _xlfn.SORTBY(_xlpm.Mes_presupuesto, _xlpm.Ordenar_mes, 1), _xlpm.Conceptos_P, _xlfn.UNIQUE(BD_Real[Concepto]), _xlpm.Orden_Conceptos, MATCH(_xlpm.Conceptos_P, BD_Real[Concepto], 0), _xlpm.Conceptos_Ordenados, _xlfn.SORTBY(_xlpm.Conceptos_P, _xlpm.Orden_Conceptos, 1), _xlpm.Valores_detalle, _xlfn.MAKEARRAY(ROWS(_xlpm.Conceptos_Ordenados), ROWS(_xlpm.Meses_Ordenados), _xlfn.LAMBDA(_xlpm.f,_xlpm.c, _xlfn.LET(_xlpm.concepto_actual, INDEX(_xlpm.Conceptos_Ordenados, _xlpm.f), _xlpm.mes_actual, INDEX(_xlpm.Meses_Ordenados, _xlpm.c), SUMPRODUCT(BD_Real[Valor] * (YEAR(BD_Real[Fecha]) = _xlpm.Año_P) * (BD_Real[Concepto] = _xlpm.concepto_actual) * (TEXT(DATE(_xlpm.Año_P, MONTH(BD_Real[Fecha]), 1), "mmmm") = _xlpm.mes_actual))))), _xlpm.Valores_Utilidad, _xlfn.MAKEARRAY(1, ROWS(_xlpm.Meses_Ordenados), _xlfn.LAMBDA(_xlpm.fil,_xlpm.col, _xlfn.LET(_xlpm.mes_actual, INDEX(_xlpm.Meses_Ordenados, _xlpm.col), SUMPRODUCT(BD_Real[Valor] * (BD_Real[Concepto] = "Ingresos") * (YEAR(BD_Real[Fecha]) = _xlpm.Año_P) * (TEXT(DATE(_xlpm.Año_P, MONTH(BD_Real[Fecha]), 1), "mmmm") = _xlpm.mes_actual)) - SUMPRODUCT(BD_Real[Valor] * (BD_Real[Concepto] &lt;&gt; "Ingresos") * (YEAR(BD_Real[Fecha]) = _xlpm.Año_P) * (TEXT(DATE(_xlpm.Año_P, MONTH(BD_Real[Fecha]), 1), "mmmm") = _xlpm.mes_actual))))), _xlpm.Encabezado, _xlfn.HSTACK("Concepto", _xlfn.TOROW(_xlpm.Meses_Ordenados)), _xlpm.resultado, _xlfn.VSTACK(_xlpm.Encabezado, _xlfn.HSTACK(_xlpm.Conceptos_Ordenados, _xlpm.Valores_detalle), _xlfn.HSTACK("Utilidad", _xlpm.Valores_Utilidad)), _xlpm.resultado)</f>
        <v>Concepto</v>
      </c>
      <c r="H10" s="102" t="str">
        <f ca="1"/>
        <v>marzo</v>
      </c>
      <c r="I10" s="102" t="str">
        <f ca="1"/>
        <v>abril</v>
      </c>
      <c r="J10" s="102" t="str">
        <f ca="1"/>
        <v>agosto</v>
      </c>
      <c r="K10" s="102" t="str">
        <f ca="1"/>
        <v>septiembre</v>
      </c>
      <c r="L10" s="102"/>
      <c r="M10" s="102"/>
      <c r="N10" s="102"/>
      <c r="O10" s="102"/>
      <c r="P10" s="102"/>
      <c r="Q10" s="102"/>
      <c r="R10" s="102"/>
      <c r="S10" s="102"/>
      <c r="T10" s="126"/>
    </row>
    <row r="11" spans="1:20" ht="15" thickBot="1" x14ac:dyDescent="0.35">
      <c r="A11" s="185"/>
      <c r="B11" s="186"/>
      <c r="C11" s="189"/>
      <c r="D11" s="189"/>
      <c r="E11" s="190"/>
      <c r="G11" s="127" t="str">
        <f ca="1"/>
        <v>Ingresos</v>
      </c>
      <c r="H11" s="127">
        <f ca="1"/>
        <v>5000000</v>
      </c>
      <c r="I11" s="127">
        <f ca="1"/>
        <v>0</v>
      </c>
      <c r="J11" s="127">
        <f ca="1"/>
        <v>3000000</v>
      </c>
      <c r="K11" s="127">
        <f ca="1"/>
        <v>1620000</v>
      </c>
      <c r="L11" s="127"/>
      <c r="M11" s="127"/>
      <c r="N11" s="127"/>
      <c r="O11" s="127"/>
      <c r="P11" s="127"/>
      <c r="Q11" s="127"/>
      <c r="R11" s="127"/>
      <c r="S11" s="127"/>
      <c r="T11" s="126"/>
    </row>
    <row r="12" spans="1:20" x14ac:dyDescent="0.3">
      <c r="A12" s="184" t="s">
        <v>28</v>
      </c>
      <c r="B12" s="184"/>
      <c r="C12" s="191"/>
      <c r="D12" s="192"/>
      <c r="E12" s="100"/>
      <c r="G12" s="127" t="str">
        <f ca="1"/>
        <v>Egresos</v>
      </c>
      <c r="H12" s="127">
        <f ca="1"/>
        <v>0</v>
      </c>
      <c r="I12" s="127">
        <f ca="1"/>
        <v>9000</v>
      </c>
      <c r="J12" s="127">
        <f ca="1"/>
        <v>94000</v>
      </c>
      <c r="K12" s="127">
        <f ca="1"/>
        <v>560230</v>
      </c>
      <c r="L12" s="127"/>
      <c r="M12" s="127"/>
      <c r="N12" s="127"/>
      <c r="O12" s="127"/>
      <c r="P12" s="127"/>
      <c r="Q12" s="127"/>
      <c r="R12" s="127"/>
      <c r="S12" s="127"/>
      <c r="T12" s="126"/>
    </row>
    <row r="13" spans="1:20" ht="15" thickBot="1" x14ac:dyDescent="0.35">
      <c r="A13" s="186"/>
      <c r="B13" s="186"/>
      <c r="C13" s="193"/>
      <c r="D13" s="194"/>
      <c r="E13" s="100"/>
      <c r="G13" s="127" t="str">
        <f ca="1"/>
        <v>Utilidad</v>
      </c>
      <c r="H13" s="127">
        <f ca="1"/>
        <v>5000000</v>
      </c>
      <c r="I13" s="127">
        <f ca="1"/>
        <v>-9000</v>
      </c>
      <c r="J13" s="127">
        <f ca="1"/>
        <v>2906000</v>
      </c>
      <c r="K13" s="127">
        <f ca="1"/>
        <v>1059770</v>
      </c>
      <c r="L13" s="127"/>
      <c r="M13" s="127"/>
      <c r="N13" s="127"/>
      <c r="O13" s="127"/>
      <c r="P13" s="127"/>
      <c r="Q13" s="127"/>
      <c r="R13" s="127"/>
      <c r="S13" s="127"/>
      <c r="T13" s="126"/>
    </row>
    <row r="14" spans="1:20" ht="15" customHeight="1" x14ac:dyDescent="0.3"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</row>
    <row r="15" spans="1:20" x14ac:dyDescent="0.3"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</row>
    <row r="21" spans="1:7" x14ac:dyDescent="0.3">
      <c r="G21" s="101"/>
    </row>
    <row r="22" spans="1:7" x14ac:dyDescent="0.3">
      <c r="G22" s="101"/>
    </row>
    <row r="23" spans="1:7" x14ac:dyDescent="0.3">
      <c r="G23" s="101"/>
    </row>
    <row r="24" spans="1:7" x14ac:dyDescent="0.3">
      <c r="G24" s="101"/>
    </row>
    <row r="25" spans="1:7" x14ac:dyDescent="0.3">
      <c r="G25" s="101"/>
    </row>
    <row r="26" spans="1:7" x14ac:dyDescent="0.3">
      <c r="G26" s="101"/>
    </row>
    <row r="27" spans="1:7" x14ac:dyDescent="0.3">
      <c r="G27" s="101"/>
    </row>
    <row r="28" spans="1:7" x14ac:dyDescent="0.3">
      <c r="G28" s="101"/>
    </row>
    <row r="29" spans="1:7" x14ac:dyDescent="0.3">
      <c r="G29" s="101"/>
    </row>
    <row r="30" spans="1:7" ht="15" thickBot="1" x14ac:dyDescent="0.35">
      <c r="G30" s="101"/>
    </row>
    <row r="31" spans="1:7" ht="16.2" thickBot="1" x14ac:dyDescent="0.35">
      <c r="A31" s="180" t="s">
        <v>234</v>
      </c>
      <c r="B31" s="181"/>
      <c r="C31" s="182"/>
      <c r="G31" s="101"/>
    </row>
    <row r="32" spans="1:7" ht="18" x14ac:dyDescent="0.3">
      <c r="A32" s="103" t="str" cm="1">
        <f t="array" ref="A32:C42">_xlfn.LET(_xlpm.conceptoF, IF(ISBLANK(D8), 1, D8 = BD_Real[Concepto]), _xlpm.DetalleF, IF(ISBLANK(D9), 1, D9 = BD_Real[Tipo]), _xlpm.DescripcionF, IF(ISBLANK(C10), 1, C10 = BD_Real[Descripción]), _xlpm.Encabezado, {"FECHA","DESCRIPCIÓN","VALOR"}, _xlpm.Datos, _xlfn._xlws.SORT(_xlfn._xlws.FILTER(BD_Real[], _xlpm.conceptoF * _xlpm.DetalleF * _xlpm.DescripcionF), 1, -1), _xlpm.DATOS2, IFERROR(_xlfn.CHOOSECOLS(_xlpm.Datos, 1, 4, 5), {"Sin Datos","Sin Datos","Sin Datos"}), _xlfn.VSTACK(_xlpm.Encabezado, _xlfn.TAKE(_xlpm.DATOS2, 10)))</f>
        <v>FECHA</v>
      </c>
      <c r="B32" s="128" t="str">
        <v>DESCRIPCIÓN</v>
      </c>
      <c r="C32" s="129" t="str">
        <v>VALOR</v>
      </c>
      <c r="G32" s="101"/>
    </row>
    <row r="33" spans="1:3" ht="15.6" x14ac:dyDescent="0.3">
      <c r="A33" s="130">
        <v>46290</v>
      </c>
      <c r="B33" s="131" t="str">
        <v>Gimnasio</v>
      </c>
      <c r="C33" s="132">
        <v>80000</v>
      </c>
    </row>
    <row r="34" spans="1:3" ht="15.6" x14ac:dyDescent="0.3">
      <c r="A34" s="130">
        <v>46290</v>
      </c>
      <c r="B34" s="131" t="str">
        <v>Prueba</v>
      </c>
      <c r="C34" s="132">
        <v>66000</v>
      </c>
    </row>
    <row r="35" spans="1:3" ht="15.6" x14ac:dyDescent="0.3">
      <c r="A35" s="130">
        <v>46288</v>
      </c>
      <c r="B35" s="131" t="str">
        <v>Almuerzos Diarios</v>
      </c>
      <c r="C35" s="132">
        <v>16000</v>
      </c>
    </row>
    <row r="36" spans="1:3" ht="15.6" x14ac:dyDescent="0.3">
      <c r="A36" s="133">
        <v>46288</v>
      </c>
      <c r="B36" s="126" t="str">
        <v>SITP / Transmilenio</v>
      </c>
      <c r="C36" s="134">
        <v>11230</v>
      </c>
    </row>
    <row r="37" spans="1:3" ht="15.6" x14ac:dyDescent="0.3">
      <c r="A37" s="133">
        <v>46283</v>
      </c>
      <c r="B37" s="126" t="str">
        <v>Otros</v>
      </c>
      <c r="C37" s="134">
        <v>5000</v>
      </c>
    </row>
    <row r="38" spans="1:3" ht="15.6" x14ac:dyDescent="0.3">
      <c r="A38" s="133">
        <v>46276</v>
      </c>
      <c r="B38" s="126" t="str">
        <v>Cena</v>
      </c>
      <c r="C38" s="134">
        <v>155000</v>
      </c>
    </row>
    <row r="39" spans="1:3" ht="15.6" x14ac:dyDescent="0.3">
      <c r="A39" s="133">
        <v>46275</v>
      </c>
      <c r="B39" s="126" t="str">
        <v>Taxis</v>
      </c>
      <c r="C39" s="134">
        <v>32000</v>
      </c>
    </row>
    <row r="40" spans="1:3" ht="15.6" x14ac:dyDescent="0.3">
      <c r="A40" s="133">
        <v>46273</v>
      </c>
      <c r="B40" s="126" t="str">
        <v>Cursos</v>
      </c>
      <c r="C40" s="134">
        <v>45000</v>
      </c>
    </row>
    <row r="41" spans="1:3" ht="15.6" x14ac:dyDescent="0.3">
      <c r="A41" s="133">
        <v>46271</v>
      </c>
      <c r="B41" s="126" t="str">
        <v>Renta</v>
      </c>
      <c r="C41" s="134">
        <v>150000</v>
      </c>
    </row>
    <row r="42" spans="1:3" ht="15.6" x14ac:dyDescent="0.3">
      <c r="A42" s="133">
        <v>46260</v>
      </c>
      <c r="B42" s="126" t="str">
        <v>Video Juegos</v>
      </c>
      <c r="C42" s="134">
        <v>85000</v>
      </c>
    </row>
    <row r="43" spans="1:3" ht="15.6" x14ac:dyDescent="0.3">
      <c r="A43" s="135"/>
      <c r="B43" s="126"/>
      <c r="C43" s="135"/>
    </row>
    <row r="44" spans="1:3" ht="15.6" x14ac:dyDescent="0.3">
      <c r="A44" s="135"/>
      <c r="B44" s="126"/>
      <c r="C44" s="135"/>
    </row>
    <row r="45" spans="1:3" ht="15.6" x14ac:dyDescent="0.3">
      <c r="A45" s="135"/>
      <c r="B45" s="126"/>
      <c r="C45" s="135"/>
    </row>
    <row r="46" spans="1:3" ht="15.6" x14ac:dyDescent="0.3">
      <c r="A46" s="135"/>
      <c r="B46" s="126"/>
      <c r="C46" s="135"/>
    </row>
    <row r="47" spans="1:3" ht="15.6" x14ac:dyDescent="0.3">
      <c r="A47" s="135"/>
      <c r="B47" s="126"/>
      <c r="C47" s="135"/>
    </row>
    <row r="48" spans="1:3" ht="15.6" x14ac:dyDescent="0.3">
      <c r="A48" s="135"/>
      <c r="B48" s="126"/>
      <c r="C48" s="135"/>
    </row>
    <row r="49" spans="1:3" ht="15.6" x14ac:dyDescent="0.3">
      <c r="A49" s="135"/>
      <c r="B49" s="135"/>
      <c r="C49" s="135"/>
    </row>
    <row r="50" spans="1:3" ht="15.6" x14ac:dyDescent="0.3">
      <c r="A50" s="135"/>
      <c r="B50" s="135"/>
      <c r="C50" s="135"/>
    </row>
  </sheetData>
  <sheetProtection algorithmName="SHA-512" hashValue="J71PS1Hc6SzNLedNhQ58LOVq1CqkDF/MRt90TNnF9EtOeHyQeMfOS2+CsCN31oST9BSTuXwpmsMWE7p4M24nBg==" saltValue="GJvSiE7azXbYFwJZpOyDJA==" spinCount="100000" sheet="1" objects="1" scenarios="1"/>
  <mergeCells count="11">
    <mergeCell ref="A5:A6"/>
    <mergeCell ref="B5:B6"/>
    <mergeCell ref="A8:C8"/>
    <mergeCell ref="D8:E8"/>
    <mergeCell ref="A9:C9"/>
    <mergeCell ref="D9:E9"/>
    <mergeCell ref="A31:C31"/>
    <mergeCell ref="A10:B11"/>
    <mergeCell ref="C10:E11"/>
    <mergeCell ref="A12:B13"/>
    <mergeCell ref="C12:D13"/>
  </mergeCells>
  <conditionalFormatting sqref="G11:S15">
    <cfRule type="expression" dxfId="49" priority="2">
      <formula>AND($G11="Utilidad",G11&lt;0)</formula>
    </cfRule>
  </conditionalFormatting>
  <conditionalFormatting sqref="G11:S13">
    <cfRule type="expression" dxfId="48" priority="5">
      <formula>G11&lt;&gt;""</formula>
    </cfRule>
  </conditionalFormatting>
  <conditionalFormatting sqref="H11:S13">
    <cfRule type="expression" dxfId="47" priority="6">
      <formula>H$10=TEXT(TODAY(),"mmmm")</formula>
    </cfRule>
  </conditionalFormatting>
  <conditionalFormatting sqref="G10:S10">
    <cfRule type="expression" dxfId="46" priority="3">
      <formula>G$10&lt;&gt;""</formula>
    </cfRule>
  </conditionalFormatting>
  <conditionalFormatting sqref="G11:S16 G21:S1515">
    <cfRule type="expression" dxfId="45" priority="4">
      <formula>$G11="Utilidad"</formula>
    </cfRule>
  </conditionalFormatting>
  <conditionalFormatting sqref="A31 A33:C42">
    <cfRule type="expression" dxfId="44" priority="25">
      <formula>$A31="Utilidad"</formula>
    </cfRule>
  </conditionalFormatting>
  <conditionalFormatting sqref="J17:S20">
    <cfRule type="expression" dxfId="43" priority="26">
      <formula>$A31="Utilidad"</formula>
    </cfRule>
  </conditionalFormatting>
  <conditionalFormatting sqref="A33:C42">
    <cfRule type="expression" dxfId="42" priority="1">
      <formula>$A33&lt;&gt;""</formula>
    </cfRule>
  </conditionalFormatting>
  <dataValidations count="4">
    <dataValidation type="list" allowBlank="1" showInputMessage="1" showErrorMessage="1" sqref="D8:E8" xr:uid="{C253C062-106C-4C05-9888-3F9248CF08C4}">
      <formula1>INDIRECT("Concepto")</formula1>
    </dataValidation>
    <dataValidation type="list" allowBlank="1" showInputMessage="1" showErrorMessage="1" sqref="D9:E9" xr:uid="{1A294794-BD28-4F1E-891D-C2B8D4C70D90}">
      <formula1>INDIRECT(D8&amp;"[Elementos]")</formula1>
    </dataValidation>
    <dataValidation type="list" allowBlank="1" showInputMessage="1" sqref="E11" xr:uid="{D4D424B2-00D8-4B04-8CB1-1252C4239054}">
      <formula1>INDIRECT(F9&amp;"["&amp;#REF!&amp;"]")</formula1>
    </dataValidation>
    <dataValidation type="list" allowBlank="1" showInputMessage="1" sqref="C10:D11 E10" xr:uid="{B8AD14ED-7F06-4C49-8ADA-41F5C6E5A7CD}">
      <formula1>INDIRECT(D8&amp;"["&amp;D9&amp;"]")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4B51-717C-4ACB-802C-7BA2E60F53B3}">
  <sheetPr codeName="Hoja8"/>
  <dimension ref="A4:U34"/>
  <sheetViews>
    <sheetView tabSelected="1" zoomScale="85" zoomScaleNormal="85" workbookViewId="0">
      <selection activeCell="D22" sqref="D22"/>
    </sheetView>
  </sheetViews>
  <sheetFormatPr baseColWidth="10" defaultRowHeight="13.8" x14ac:dyDescent="0.3"/>
  <cols>
    <col min="1" max="1" width="3" style="64" customWidth="1"/>
    <col min="2" max="2" width="17.109375" style="64" bestFit="1" customWidth="1"/>
    <col min="3" max="3" width="19.33203125" style="64" bestFit="1" customWidth="1"/>
    <col min="4" max="4" width="10.44140625" style="64" bestFit="1" customWidth="1"/>
    <col min="5" max="5" width="11.77734375" style="64" bestFit="1" customWidth="1"/>
    <col min="6" max="6" width="13.6640625" style="64" bestFit="1" customWidth="1"/>
    <col min="7" max="7" width="14.33203125" style="64" bestFit="1" customWidth="1"/>
    <col min="8" max="8" width="3.44140625" style="64" customWidth="1"/>
    <col min="9" max="9" width="11.77734375" style="64" bestFit="1" customWidth="1"/>
    <col min="10" max="10" width="19.33203125" style="64" bestFit="1" customWidth="1"/>
    <col min="11" max="11" width="10.44140625" style="64" bestFit="1" customWidth="1"/>
    <col min="12" max="12" width="11.77734375" style="64" bestFit="1" customWidth="1"/>
    <col min="13" max="13" width="13.6640625" style="64" bestFit="1" customWidth="1"/>
    <col min="14" max="16384" width="11.5546875" style="64"/>
  </cols>
  <sheetData>
    <row r="4" spans="1:21" x14ac:dyDescent="0.3">
      <c r="A4" s="91" t="s">
        <v>369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</row>
    <row r="22" spans="2:13" ht="14.4" x14ac:dyDescent="0.3">
      <c r="B22"/>
      <c r="C22" s="1" t="s">
        <v>275</v>
      </c>
      <c r="D22" s="1" t="s">
        <v>393</v>
      </c>
      <c r="E22" s="1" t="s">
        <v>273</v>
      </c>
      <c r="F22" s="1" t="s">
        <v>395</v>
      </c>
      <c r="G22" s="1" t="s">
        <v>274</v>
      </c>
      <c r="I22"/>
      <c r="J22" s="1" t="s">
        <v>275</v>
      </c>
      <c r="K22" s="1" t="s">
        <v>393</v>
      </c>
      <c r="L22" s="1" t="s">
        <v>273</v>
      </c>
      <c r="M22" s="1" t="s">
        <v>394</v>
      </c>
    </row>
    <row r="23" spans="2:13" ht="14.4" x14ac:dyDescent="0.3">
      <c r="B23" s="3" t="s">
        <v>51</v>
      </c>
      <c r="C23" s="89">
        <v>7450000</v>
      </c>
      <c r="D23" s="89">
        <v>150000</v>
      </c>
      <c r="E23" s="89">
        <v>7300000</v>
      </c>
      <c r="F23" s="90">
        <v>2.0134228187919462E-2</v>
      </c>
      <c r="G23" s="1" t="s">
        <v>377</v>
      </c>
      <c r="I23" s="3" t="s">
        <v>381</v>
      </c>
      <c r="J23" s="89">
        <v>1211000</v>
      </c>
      <c r="K23" s="89"/>
      <c r="L23" s="89">
        <v>1211000</v>
      </c>
      <c r="M23" s="90"/>
    </row>
    <row r="24" spans="2:13" ht="14.4" x14ac:dyDescent="0.3">
      <c r="B24" s="3" t="s">
        <v>53</v>
      </c>
      <c r="C24" s="89"/>
      <c r="D24" s="89">
        <v>45000</v>
      </c>
      <c r="E24" s="89">
        <v>-45000</v>
      </c>
      <c r="F24" s="90"/>
      <c r="G24" s="1" t="s">
        <v>378</v>
      </c>
      <c r="I24" s="3" t="s">
        <v>382</v>
      </c>
      <c r="J24" s="89">
        <v>1361000</v>
      </c>
      <c r="K24" s="89"/>
      <c r="L24" s="89">
        <v>1361000</v>
      </c>
      <c r="M24" s="90"/>
    </row>
    <row r="25" spans="2:13" ht="14.4" x14ac:dyDescent="0.3">
      <c r="B25" s="3" t="s">
        <v>47</v>
      </c>
      <c r="C25" s="89">
        <v>135000</v>
      </c>
      <c r="D25" s="89">
        <v>108000</v>
      </c>
      <c r="E25" s="89">
        <v>27000</v>
      </c>
      <c r="F25" s="90">
        <v>0.8</v>
      </c>
      <c r="G25" s="1" t="s">
        <v>380</v>
      </c>
      <c r="I25" s="3" t="s">
        <v>383</v>
      </c>
      <c r="J25" s="89">
        <v>1211000</v>
      </c>
      <c r="K25" s="89"/>
      <c r="L25" s="89">
        <v>1211000</v>
      </c>
      <c r="M25" s="90"/>
    </row>
    <row r="26" spans="2:13" ht="14.4" x14ac:dyDescent="0.3">
      <c r="B26" s="3" t="s">
        <v>370</v>
      </c>
      <c r="C26" s="89">
        <v>3564000</v>
      </c>
      <c r="D26" s="89">
        <v>251000</v>
      </c>
      <c r="E26" s="89">
        <v>3313000</v>
      </c>
      <c r="F26" s="90">
        <v>7.0426487093153758E-2</v>
      </c>
      <c r="G26" s="1" t="s">
        <v>377</v>
      </c>
      <c r="I26" s="3" t="s">
        <v>384</v>
      </c>
      <c r="J26" s="89">
        <v>1361000</v>
      </c>
      <c r="K26" s="89">
        <v>9000</v>
      </c>
      <c r="L26" s="89">
        <v>1352000</v>
      </c>
      <c r="M26" s="90">
        <v>6.6127847171197646E-3</v>
      </c>
    </row>
    <row r="27" spans="2:13" ht="14.4" x14ac:dyDescent="0.3">
      <c r="B27" s="3" t="s">
        <v>46</v>
      </c>
      <c r="C27" s="89">
        <v>600000</v>
      </c>
      <c r="D27" s="89"/>
      <c r="E27" s="89">
        <v>600000</v>
      </c>
      <c r="F27" s="90"/>
      <c r="G27" s="1" t="s">
        <v>379</v>
      </c>
      <c r="I27" s="3" t="s">
        <v>385</v>
      </c>
      <c r="J27" s="89">
        <v>1211000</v>
      </c>
      <c r="K27" s="89"/>
      <c r="L27" s="89">
        <v>1211000</v>
      </c>
      <c r="M27" s="90"/>
    </row>
    <row r="28" spans="2:13" ht="14.4" x14ac:dyDescent="0.3">
      <c r="B28" s="3" t="s">
        <v>52</v>
      </c>
      <c r="C28" s="89">
        <v>60000</v>
      </c>
      <c r="D28" s="89">
        <v>66000</v>
      </c>
      <c r="E28" s="89">
        <v>-6000</v>
      </c>
      <c r="F28" s="90">
        <v>1.1000000000000001</v>
      </c>
      <c r="G28" s="1" t="s">
        <v>407</v>
      </c>
      <c r="I28" s="3" t="s">
        <v>386</v>
      </c>
      <c r="J28" s="89">
        <v>1361000</v>
      </c>
      <c r="K28" s="89"/>
      <c r="L28" s="89">
        <v>1361000</v>
      </c>
      <c r="M28" s="90"/>
    </row>
    <row r="29" spans="2:13" ht="14.4" x14ac:dyDescent="0.3">
      <c r="B29" s="3" t="s">
        <v>44</v>
      </c>
      <c r="C29" s="89"/>
      <c r="D29" s="89">
        <v>43230</v>
      </c>
      <c r="E29" s="89">
        <v>-43230</v>
      </c>
      <c r="F29" s="90"/>
      <c r="G29" s="1" t="s">
        <v>378</v>
      </c>
      <c r="I29" s="3" t="s">
        <v>387</v>
      </c>
      <c r="J29" s="89">
        <v>1211000</v>
      </c>
      <c r="K29" s="89"/>
      <c r="L29" s="89">
        <v>1211000</v>
      </c>
      <c r="M29" s="90"/>
    </row>
    <row r="30" spans="2:13" ht="14.4" x14ac:dyDescent="0.3">
      <c r="I30" s="3" t="s">
        <v>388</v>
      </c>
      <c r="J30" s="89">
        <v>1611000</v>
      </c>
      <c r="K30" s="89">
        <v>94000</v>
      </c>
      <c r="L30" s="89">
        <v>1517000</v>
      </c>
      <c r="M30" s="90">
        <v>5.8348851644941031E-2</v>
      </c>
    </row>
    <row r="31" spans="2:13" ht="14.4" x14ac:dyDescent="0.3">
      <c r="I31" s="3" t="s">
        <v>389</v>
      </c>
      <c r="J31" s="89">
        <v>1271000</v>
      </c>
      <c r="K31" s="89">
        <v>560230</v>
      </c>
      <c r="L31" s="89">
        <v>710770</v>
      </c>
      <c r="M31" s="90">
        <v>0.44077891424075533</v>
      </c>
    </row>
    <row r="32" spans="2:13" ht="14.4" x14ac:dyDescent="0.3">
      <c r="I32" s="3" t="s">
        <v>390</v>
      </c>
      <c r="J32" s="89">
        <v>14361000</v>
      </c>
      <c r="K32" s="89"/>
      <c r="L32" s="89">
        <v>14361000</v>
      </c>
      <c r="M32" s="90"/>
    </row>
    <row r="33" spans="9:13" ht="14.4" x14ac:dyDescent="0.3">
      <c r="I33" s="3" t="s">
        <v>391</v>
      </c>
      <c r="J33" s="89">
        <v>1211000</v>
      </c>
      <c r="K33" s="89"/>
      <c r="L33" s="89">
        <v>1211000</v>
      </c>
      <c r="M33" s="90"/>
    </row>
    <row r="34" spans="9:13" ht="14.4" x14ac:dyDescent="0.3">
      <c r="I34" s="3" t="s">
        <v>392</v>
      </c>
      <c r="J34" s="89">
        <v>1361000</v>
      </c>
      <c r="K34" s="89"/>
      <c r="L34" s="89">
        <v>1361000</v>
      </c>
      <c r="M34" s="90"/>
    </row>
  </sheetData>
  <conditionalFormatting pivot="1" sqref="G23:G29">
    <cfRule type="cellIs" dxfId="41" priority="15" operator="equal">
      <formula>"Bajo COntrol"</formula>
    </cfRule>
  </conditionalFormatting>
  <conditionalFormatting pivot="1" sqref="G23:G29">
    <cfRule type="cellIs" dxfId="40" priority="14" operator="equal">
      <formula>"Sobre Ejecutado"</formula>
    </cfRule>
  </conditionalFormatting>
  <conditionalFormatting pivot="1" sqref="G23:G29">
    <cfRule type="cellIs" dxfId="39" priority="13" operator="equal">
      <formula>"Sin Ejecutar"</formula>
    </cfRule>
  </conditionalFormatting>
  <conditionalFormatting pivot="1" sqref="G23:G29">
    <cfRule type="cellIs" dxfId="38" priority="12" operator="equal">
      <formula>"Alerta"</formula>
    </cfRule>
  </conditionalFormatting>
  <conditionalFormatting pivot="1" sqref="G23:G29">
    <cfRule type="cellIs" dxfId="37" priority="11" operator="equal">
      <formula>"Sin Presupuesto"</formula>
    </cfRule>
  </conditionalFormatting>
  <conditionalFormatting pivot="1" sqref="E23:E29">
    <cfRule type="cellIs" dxfId="36" priority="10" operator="lessThan">
      <formula>0</formula>
    </cfRule>
  </conditionalFormatting>
  <conditionalFormatting pivot="1" sqref="F23:F29">
    <cfRule type="cellIs" dxfId="35" priority="9" operator="lessThan">
      <formula>0</formula>
    </cfRule>
  </conditionalFormatting>
  <conditionalFormatting pivot="1" sqref="J23:M34">
    <cfRule type="expression" dxfId="34" priority="1">
      <formula>$I23=TEXT(TODAY(),"mmmm")</formula>
    </cfRule>
  </conditionalFormatting>
  <pageMargins left="0.7" right="0.7" top="0.75" bottom="0.75" header="0.3" footer="0.3"/>
  <pageSetup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7C20D-F973-4AAC-A445-8D9B6029769E}">
  <sheetPr codeName="Hoja2"/>
  <dimension ref="B1:AN19"/>
  <sheetViews>
    <sheetView workbookViewId="0">
      <selection activeCell="N27" sqref="N27"/>
    </sheetView>
  </sheetViews>
  <sheetFormatPr baseColWidth="10" defaultColWidth="10.77734375" defaultRowHeight="14.4" x14ac:dyDescent="0.3"/>
  <cols>
    <col min="1" max="1" width="1.33203125" customWidth="1"/>
    <col min="2" max="2" width="14.21875" bestFit="1" customWidth="1"/>
    <col min="3" max="3" width="2.33203125" customWidth="1"/>
    <col min="4" max="4" width="32.77734375" bestFit="1" customWidth="1"/>
    <col min="5" max="5" width="2.6640625" customWidth="1"/>
    <col min="6" max="6" width="21.88671875" bestFit="1" customWidth="1"/>
    <col min="7" max="7" width="1.88671875" customWidth="1"/>
    <col min="8" max="8" width="32.88671875" bestFit="1" customWidth="1"/>
    <col min="9" max="9" width="1.77734375" customWidth="1"/>
    <col min="10" max="10" width="21" bestFit="1" customWidth="1"/>
    <col min="11" max="11" width="18.6640625" bestFit="1" customWidth="1"/>
    <col min="12" max="12" width="17.21875" bestFit="1" customWidth="1"/>
    <col min="13" max="13" width="17.5546875" bestFit="1" customWidth="1"/>
    <col min="14" max="14" width="21" bestFit="1" customWidth="1"/>
    <col min="15" max="15" width="17.88671875" bestFit="1" customWidth="1"/>
    <col min="16" max="16" width="26.44140625" bestFit="1" customWidth="1"/>
    <col min="17" max="17" width="26.109375" bestFit="1" customWidth="1"/>
    <col min="18" max="18" width="18.44140625" bestFit="1" customWidth="1"/>
    <col min="19" max="19" width="26.77734375" bestFit="1" customWidth="1"/>
    <col min="20" max="20" width="8.5546875" bestFit="1" customWidth="1"/>
    <col min="21" max="21" width="19.5546875" bestFit="1" customWidth="1"/>
    <col min="22" max="32" width="3" customWidth="1"/>
    <col min="34" max="34" width="10.21875" bestFit="1" customWidth="1"/>
    <col min="35" max="35" width="7.77734375" bestFit="1" customWidth="1"/>
    <col min="36" max="36" width="8.5546875" bestFit="1" customWidth="1"/>
    <col min="37" max="37" width="9.109375" bestFit="1" customWidth="1"/>
    <col min="38" max="38" width="12" bestFit="1" customWidth="1"/>
    <col min="39" max="39" width="9.109375" bestFit="1" customWidth="1"/>
    <col min="40" max="40" width="5.5546875" bestFit="1" customWidth="1"/>
  </cols>
  <sheetData>
    <row r="1" spans="2:40" ht="15.6" x14ac:dyDescent="0.3">
      <c r="B1" s="15" t="s">
        <v>25</v>
      </c>
      <c r="C1" s="15"/>
      <c r="D1" s="15" t="s">
        <v>21</v>
      </c>
      <c r="F1" s="15" t="s">
        <v>22</v>
      </c>
      <c r="H1" s="15" t="s">
        <v>23</v>
      </c>
      <c r="J1" s="15" t="s">
        <v>42</v>
      </c>
    </row>
    <row r="2" spans="2:40" x14ac:dyDescent="0.3">
      <c r="B2" s="1" t="s">
        <v>24</v>
      </c>
      <c r="C2" s="1"/>
      <c r="D2" s="1" t="s">
        <v>24</v>
      </c>
      <c r="F2" s="1" t="s">
        <v>24</v>
      </c>
      <c r="H2" s="1" t="s">
        <v>24</v>
      </c>
      <c r="J2" t="s">
        <v>24</v>
      </c>
      <c r="K2" t="s">
        <v>43</v>
      </c>
      <c r="L2" t="s">
        <v>44</v>
      </c>
      <c r="M2" t="s">
        <v>45</v>
      </c>
      <c r="N2" t="s">
        <v>46</v>
      </c>
      <c r="O2" t="s">
        <v>47</v>
      </c>
      <c r="P2" t="s">
        <v>48</v>
      </c>
      <c r="Q2" t="s">
        <v>49</v>
      </c>
      <c r="R2" t="s">
        <v>53</v>
      </c>
      <c r="S2" t="s">
        <v>50</v>
      </c>
      <c r="T2" t="s">
        <v>51</v>
      </c>
      <c r="U2" t="s">
        <v>52</v>
      </c>
      <c r="AH2" t="s">
        <v>19</v>
      </c>
      <c r="AI2" s="1" t="s">
        <v>0</v>
      </c>
      <c r="AJ2" s="1" t="s">
        <v>1</v>
      </c>
      <c r="AK2" s="1" t="s">
        <v>2</v>
      </c>
      <c r="AL2" s="1" t="s">
        <v>3</v>
      </c>
      <c r="AM2" s="1" t="s">
        <v>4</v>
      </c>
      <c r="AN2" s="1" t="s">
        <v>5</v>
      </c>
    </row>
    <row r="3" spans="2:40" x14ac:dyDescent="0.3">
      <c r="B3" s="1" t="s">
        <v>21</v>
      </c>
      <c r="C3" s="1"/>
      <c r="D3" s="3" t="s">
        <v>33</v>
      </c>
      <c r="F3" s="1" t="s">
        <v>59</v>
      </c>
      <c r="H3" s="1" t="s">
        <v>63</v>
      </c>
      <c r="J3" s="4" t="s">
        <v>43</v>
      </c>
      <c r="K3" s="4" t="s">
        <v>76</v>
      </c>
      <c r="L3" s="5" t="s">
        <v>97</v>
      </c>
      <c r="M3" s="6" t="s">
        <v>98</v>
      </c>
      <c r="N3" s="7" t="s">
        <v>104</v>
      </c>
      <c r="O3" s="8" t="s">
        <v>119</v>
      </c>
      <c r="P3" s="9" t="s">
        <v>132</v>
      </c>
      <c r="Q3" s="10" t="s">
        <v>143</v>
      </c>
      <c r="R3" s="11" t="s">
        <v>149</v>
      </c>
      <c r="S3" s="12" t="s">
        <v>158</v>
      </c>
      <c r="T3" t="s">
        <v>172</v>
      </c>
      <c r="U3" s="13" t="s">
        <v>162</v>
      </c>
      <c r="AH3" t="s">
        <v>6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</row>
    <row r="4" spans="2:40" x14ac:dyDescent="0.3">
      <c r="B4" s="1" t="s">
        <v>22</v>
      </c>
      <c r="C4" s="1"/>
      <c r="D4" s="3" t="s">
        <v>29</v>
      </c>
      <c r="F4" s="1" t="s">
        <v>54</v>
      </c>
      <c r="H4" s="1" t="s">
        <v>72</v>
      </c>
      <c r="J4" s="5" t="s">
        <v>44</v>
      </c>
      <c r="K4" s="4" t="s">
        <v>77</v>
      </c>
      <c r="L4" s="5" t="s">
        <v>90</v>
      </c>
      <c r="M4" s="6" t="s">
        <v>99</v>
      </c>
      <c r="N4" s="7" t="s">
        <v>105</v>
      </c>
      <c r="O4" s="8" t="s">
        <v>120</v>
      </c>
      <c r="P4" s="9" t="s">
        <v>133</v>
      </c>
      <c r="Q4" s="10" t="s">
        <v>144</v>
      </c>
      <c r="R4" s="11" t="s">
        <v>150</v>
      </c>
      <c r="S4" s="12" t="s">
        <v>159</v>
      </c>
      <c r="T4" t="s">
        <v>177</v>
      </c>
      <c r="U4" s="13" t="s">
        <v>163</v>
      </c>
      <c r="AH4" t="s">
        <v>7</v>
      </c>
      <c r="AI4" s="1">
        <v>2</v>
      </c>
      <c r="AJ4" s="1">
        <v>2</v>
      </c>
      <c r="AK4" s="1">
        <v>2</v>
      </c>
      <c r="AL4" s="1">
        <v>2</v>
      </c>
      <c r="AM4" s="1">
        <v>2</v>
      </c>
      <c r="AN4" s="1">
        <v>2</v>
      </c>
    </row>
    <row r="5" spans="2:40" x14ac:dyDescent="0.3">
      <c r="B5" s="1" t="s">
        <v>23</v>
      </c>
      <c r="C5" s="1"/>
      <c r="D5" s="3" t="s">
        <v>37</v>
      </c>
      <c r="F5" s="1" t="s">
        <v>55</v>
      </c>
      <c r="H5" s="1" t="s">
        <v>75</v>
      </c>
      <c r="J5" s="6" t="s">
        <v>45</v>
      </c>
      <c r="K5" s="4" t="s">
        <v>78</v>
      </c>
      <c r="L5" s="5" t="s">
        <v>52</v>
      </c>
      <c r="M5" s="6" t="s">
        <v>100</v>
      </c>
      <c r="N5" s="7" t="s">
        <v>106</v>
      </c>
      <c r="O5" s="8" t="s">
        <v>121</v>
      </c>
      <c r="P5" s="9" t="s">
        <v>134</v>
      </c>
      <c r="Q5" s="10" t="s">
        <v>145</v>
      </c>
      <c r="R5" s="11" t="s">
        <v>151</v>
      </c>
      <c r="S5" s="12" t="s">
        <v>160</v>
      </c>
      <c r="U5" s="13" t="s">
        <v>164</v>
      </c>
      <c r="AH5" t="s">
        <v>8</v>
      </c>
      <c r="AI5" s="1">
        <v>3</v>
      </c>
      <c r="AJ5" s="1">
        <v>1</v>
      </c>
      <c r="AK5" s="1">
        <v>3</v>
      </c>
      <c r="AL5" s="1">
        <v>3</v>
      </c>
      <c r="AM5" s="1">
        <v>3</v>
      </c>
      <c r="AN5" s="1">
        <v>3</v>
      </c>
    </row>
    <row r="6" spans="2:40" x14ac:dyDescent="0.3">
      <c r="B6" s="1" t="s">
        <v>42</v>
      </c>
      <c r="C6" s="1"/>
      <c r="D6" s="3" t="s">
        <v>36</v>
      </c>
      <c r="F6" s="1" t="s">
        <v>56</v>
      </c>
      <c r="H6" s="1" t="s">
        <v>73</v>
      </c>
      <c r="J6" s="7" t="s">
        <v>46</v>
      </c>
      <c r="K6" s="4" t="s">
        <v>79</v>
      </c>
      <c r="L6" s="5" t="s">
        <v>91</v>
      </c>
      <c r="M6" s="6" t="s">
        <v>101</v>
      </c>
      <c r="N6" s="7" t="s">
        <v>107</v>
      </c>
      <c r="O6" s="8" t="s">
        <v>122</v>
      </c>
      <c r="P6" s="9" t="s">
        <v>135</v>
      </c>
      <c r="Q6" s="10" t="s">
        <v>148</v>
      </c>
      <c r="R6" s="11" t="s">
        <v>152</v>
      </c>
      <c r="S6" s="12" t="s">
        <v>161</v>
      </c>
      <c r="U6" s="13" t="s">
        <v>165</v>
      </c>
      <c r="AH6" t="s">
        <v>9</v>
      </c>
      <c r="AI6" s="1">
        <v>4</v>
      </c>
      <c r="AJ6" s="1">
        <v>2</v>
      </c>
      <c r="AK6" s="1">
        <v>1</v>
      </c>
      <c r="AL6" s="1">
        <v>4</v>
      </c>
      <c r="AM6" s="1">
        <v>4</v>
      </c>
      <c r="AN6" s="1">
        <v>4</v>
      </c>
    </row>
    <row r="7" spans="2:40" x14ac:dyDescent="0.3">
      <c r="B7" s="1"/>
      <c r="C7" s="1"/>
      <c r="D7" s="3" t="s">
        <v>41</v>
      </c>
      <c r="F7" s="1" t="s">
        <v>57</v>
      </c>
      <c r="H7" s="1" t="s">
        <v>74</v>
      </c>
      <c r="J7" s="8" t="s">
        <v>47</v>
      </c>
      <c r="K7" s="4" t="s">
        <v>80</v>
      </c>
      <c r="L7" s="5" t="s">
        <v>95</v>
      </c>
      <c r="M7" s="6" t="s">
        <v>102</v>
      </c>
      <c r="N7" s="7" t="s">
        <v>108</v>
      </c>
      <c r="O7" s="8" t="s">
        <v>123</v>
      </c>
      <c r="P7" s="9" t="s">
        <v>136</v>
      </c>
      <c r="Q7" s="10" t="s">
        <v>146</v>
      </c>
      <c r="R7" s="11" t="s">
        <v>153</v>
      </c>
      <c r="S7" s="12"/>
      <c r="U7" s="13" t="s">
        <v>166</v>
      </c>
      <c r="AH7" t="s">
        <v>10</v>
      </c>
      <c r="AI7" s="1">
        <v>5</v>
      </c>
      <c r="AJ7" s="1">
        <v>1</v>
      </c>
      <c r="AK7" s="1">
        <v>2</v>
      </c>
      <c r="AL7" s="1">
        <v>1</v>
      </c>
      <c r="AM7" s="1">
        <v>5</v>
      </c>
      <c r="AN7" s="1">
        <v>5</v>
      </c>
    </row>
    <row r="8" spans="2:40" x14ac:dyDescent="0.3">
      <c r="B8" cm="1">
        <f t="array" ref="B8:B19">_xlfn.LET(_xlpm.selector, _xlfn.SWITCH(TRUE, OR(Proyectar!C3 = "Mensual", Proyectar!C3 = "Anual"), 12, Proyectar!C3 = "Bimestral", 2, Proyectar!C3 = "trimestral", 3, Proyectar!C3 = "Cuatrimestral", 4, Proyectar!C3 = "Semestral", 6), _xlpm.Lista, _xlfn.SEQUENCE(_xlpm.selector), _xlpm.Lista)</f>
        <v>1</v>
      </c>
      <c r="D8" s="3" t="s">
        <v>34</v>
      </c>
      <c r="F8" s="1" t="s">
        <v>58</v>
      </c>
      <c r="H8" s="1" t="s">
        <v>67</v>
      </c>
      <c r="J8" s="9" t="s">
        <v>48</v>
      </c>
      <c r="K8" s="4" t="s">
        <v>81</v>
      </c>
      <c r="L8" s="5" t="s">
        <v>92</v>
      </c>
      <c r="M8" s="6" t="s">
        <v>103</v>
      </c>
      <c r="N8" s="7" t="s">
        <v>109</v>
      </c>
      <c r="O8" s="8" t="s">
        <v>52</v>
      </c>
      <c r="P8" s="9" t="s">
        <v>137</v>
      </c>
      <c r="Q8" s="10" t="s">
        <v>147</v>
      </c>
      <c r="R8" s="11" t="s">
        <v>154</v>
      </c>
      <c r="S8" s="12"/>
      <c r="U8" s="13" t="s">
        <v>167</v>
      </c>
      <c r="AH8" t="s">
        <v>11</v>
      </c>
      <c r="AI8" s="1">
        <v>6</v>
      </c>
      <c r="AJ8" s="1">
        <v>2</v>
      </c>
      <c r="AK8" s="1">
        <v>3</v>
      </c>
      <c r="AL8" s="1">
        <v>2</v>
      </c>
      <c r="AM8" s="1">
        <v>6</v>
      </c>
      <c r="AN8" s="1">
        <v>6</v>
      </c>
    </row>
    <row r="9" spans="2:40" x14ac:dyDescent="0.3">
      <c r="B9">
        <v>2</v>
      </c>
      <c r="D9" s="3" t="s">
        <v>39</v>
      </c>
      <c r="F9" s="1" t="s">
        <v>60</v>
      </c>
      <c r="H9" s="1" t="s">
        <v>61</v>
      </c>
      <c r="J9" s="10" t="s">
        <v>49</v>
      </c>
      <c r="K9" s="4" t="s">
        <v>82</v>
      </c>
      <c r="L9" s="5" t="s">
        <v>93</v>
      </c>
      <c r="M9" s="6" t="s">
        <v>188</v>
      </c>
      <c r="N9" s="7" t="s">
        <v>110</v>
      </c>
      <c r="O9" s="8" t="s">
        <v>124</v>
      </c>
      <c r="P9" s="9" t="s">
        <v>138</v>
      </c>
      <c r="Q9" s="10"/>
      <c r="R9" s="11" t="s">
        <v>155</v>
      </c>
      <c r="S9" s="12"/>
      <c r="U9" s="13" t="s">
        <v>168</v>
      </c>
      <c r="AH9" t="s">
        <v>12</v>
      </c>
      <c r="AI9" s="1">
        <v>7</v>
      </c>
      <c r="AJ9" s="1">
        <v>1</v>
      </c>
      <c r="AK9" s="1">
        <v>1</v>
      </c>
      <c r="AL9" s="1">
        <v>3</v>
      </c>
      <c r="AM9" s="1">
        <v>1</v>
      </c>
      <c r="AN9" s="1">
        <v>7</v>
      </c>
    </row>
    <row r="10" spans="2:40" x14ac:dyDescent="0.3">
      <c r="B10">
        <v>3</v>
      </c>
      <c r="D10" s="3" t="s">
        <v>35</v>
      </c>
      <c r="H10" s="1" t="s">
        <v>69</v>
      </c>
      <c r="J10" s="11" t="s">
        <v>53</v>
      </c>
      <c r="K10" s="4" t="s">
        <v>83</v>
      </c>
      <c r="L10" s="5" t="s">
        <v>94</v>
      </c>
      <c r="M10" s="6" t="s">
        <v>127</v>
      </c>
      <c r="N10" s="7" t="s">
        <v>111</v>
      </c>
      <c r="O10" s="8" t="s">
        <v>125</v>
      </c>
      <c r="P10" s="9" t="s">
        <v>139</v>
      </c>
      <c r="Q10" s="10"/>
      <c r="R10" s="11" t="s">
        <v>156</v>
      </c>
      <c r="S10" s="12"/>
      <c r="U10" s="13" t="s">
        <v>169</v>
      </c>
      <c r="AH10" t="s">
        <v>13</v>
      </c>
      <c r="AI10" s="1">
        <v>8</v>
      </c>
      <c r="AJ10" s="1">
        <v>2</v>
      </c>
      <c r="AK10" s="1">
        <v>2</v>
      </c>
      <c r="AL10" s="1">
        <v>4</v>
      </c>
      <c r="AM10" s="1">
        <v>2</v>
      </c>
      <c r="AN10" s="1">
        <v>8</v>
      </c>
    </row>
    <row r="11" spans="2:40" x14ac:dyDescent="0.3">
      <c r="B11">
        <v>4</v>
      </c>
      <c r="D11" s="3" t="s">
        <v>32</v>
      </c>
      <c r="H11" s="1" t="s">
        <v>62</v>
      </c>
      <c r="J11" s="12" t="s">
        <v>50</v>
      </c>
      <c r="K11" s="4" t="s">
        <v>84</v>
      </c>
      <c r="L11" s="5" t="s">
        <v>96</v>
      </c>
      <c r="M11" s="6"/>
      <c r="N11" s="7" t="s">
        <v>112</v>
      </c>
      <c r="O11" s="8" t="s">
        <v>126</v>
      </c>
      <c r="P11" s="9" t="s">
        <v>140</v>
      </c>
      <c r="Q11" s="10"/>
      <c r="R11" s="11" t="s">
        <v>157</v>
      </c>
      <c r="S11" s="12"/>
      <c r="U11" s="13"/>
      <c r="AH11" t="s">
        <v>14</v>
      </c>
      <c r="AI11" s="1">
        <v>9</v>
      </c>
      <c r="AJ11" s="1">
        <v>1</v>
      </c>
      <c r="AK11" s="1">
        <v>3</v>
      </c>
      <c r="AL11" s="1">
        <v>1</v>
      </c>
      <c r="AM11" s="1">
        <v>3</v>
      </c>
      <c r="AN11" s="1">
        <v>9</v>
      </c>
    </row>
    <row r="12" spans="2:40" x14ac:dyDescent="0.3">
      <c r="B12">
        <v>5</v>
      </c>
      <c r="D12" s="3" t="s">
        <v>88</v>
      </c>
      <c r="H12" s="1" t="s">
        <v>68</v>
      </c>
      <c r="J12" t="s">
        <v>51</v>
      </c>
      <c r="K12" s="4" t="s">
        <v>85</v>
      </c>
      <c r="L12" s="5"/>
      <c r="M12" s="6"/>
      <c r="N12" s="7" t="s">
        <v>113</v>
      </c>
      <c r="O12" s="8" t="s">
        <v>127</v>
      </c>
      <c r="P12" s="9" t="s">
        <v>141</v>
      </c>
      <c r="Q12" s="10"/>
      <c r="R12" s="11" t="s">
        <v>52</v>
      </c>
      <c r="S12" s="12"/>
      <c r="U12" s="13"/>
      <c r="AH12" t="s">
        <v>15</v>
      </c>
      <c r="AI12" s="1">
        <v>10</v>
      </c>
      <c r="AJ12" s="1">
        <v>2</v>
      </c>
      <c r="AK12" s="1">
        <v>1</v>
      </c>
      <c r="AL12" s="1">
        <v>2</v>
      </c>
      <c r="AM12" s="1">
        <v>4</v>
      </c>
      <c r="AN12" s="1">
        <v>10</v>
      </c>
    </row>
    <row r="13" spans="2:40" x14ac:dyDescent="0.3">
      <c r="B13">
        <v>6</v>
      </c>
      <c r="D13" s="3" t="s">
        <v>89</v>
      </c>
      <c r="H13" s="1" t="s">
        <v>65</v>
      </c>
      <c r="J13" s="13" t="s">
        <v>52</v>
      </c>
      <c r="K13" s="4" t="s">
        <v>86</v>
      </c>
      <c r="L13" s="5"/>
      <c r="M13" s="6"/>
      <c r="N13" s="7" t="s">
        <v>52</v>
      </c>
      <c r="O13" s="8" t="s">
        <v>128</v>
      </c>
      <c r="P13" s="9" t="s">
        <v>142</v>
      </c>
      <c r="Q13" s="10"/>
      <c r="R13" s="11"/>
      <c r="S13" s="12"/>
      <c r="U13" s="13"/>
      <c r="AH13" t="s">
        <v>16</v>
      </c>
      <c r="AI13" s="1">
        <v>11</v>
      </c>
      <c r="AJ13" s="1">
        <v>1</v>
      </c>
      <c r="AK13" s="1">
        <v>2</v>
      </c>
      <c r="AL13" s="1">
        <v>3</v>
      </c>
      <c r="AM13" s="1">
        <v>5</v>
      </c>
      <c r="AN13" s="1">
        <v>11</v>
      </c>
    </row>
    <row r="14" spans="2:40" x14ac:dyDescent="0.3">
      <c r="B14">
        <v>7</v>
      </c>
      <c r="D14" s="3" t="s">
        <v>38</v>
      </c>
      <c r="H14" s="1" t="s">
        <v>66</v>
      </c>
      <c r="K14" s="4" t="s">
        <v>52</v>
      </c>
      <c r="L14" s="5"/>
      <c r="M14" s="6"/>
      <c r="N14" s="7" t="s">
        <v>114</v>
      </c>
      <c r="O14" s="8" t="s">
        <v>129</v>
      </c>
      <c r="P14" s="9" t="s">
        <v>52</v>
      </c>
      <c r="Q14" s="10"/>
      <c r="R14" s="11"/>
      <c r="S14" s="12"/>
      <c r="U14" s="13"/>
      <c r="AH14" t="s">
        <v>17</v>
      </c>
      <c r="AI14" s="1">
        <v>12</v>
      </c>
      <c r="AJ14" s="1">
        <v>2</v>
      </c>
      <c r="AK14" s="1">
        <v>3</v>
      </c>
      <c r="AL14" s="1">
        <v>4</v>
      </c>
      <c r="AM14" s="1">
        <v>6</v>
      </c>
      <c r="AN14" s="1">
        <v>12</v>
      </c>
    </row>
    <row r="15" spans="2:40" x14ac:dyDescent="0.3">
      <c r="B15">
        <v>8</v>
      </c>
      <c r="D15" s="3" t="s">
        <v>40</v>
      </c>
      <c r="H15" s="1" t="s">
        <v>64</v>
      </c>
      <c r="K15" s="4" t="s">
        <v>87</v>
      </c>
      <c r="L15" s="5"/>
      <c r="M15" s="6"/>
      <c r="N15" s="7" t="s">
        <v>117</v>
      </c>
      <c r="O15" s="8" t="s">
        <v>130</v>
      </c>
      <c r="P15" s="9" t="s">
        <v>52</v>
      </c>
      <c r="Q15" s="10"/>
      <c r="R15" s="11"/>
      <c r="S15" s="12"/>
      <c r="U15" s="13"/>
    </row>
    <row r="16" spans="2:40" x14ac:dyDescent="0.3">
      <c r="B16">
        <v>9</v>
      </c>
      <c r="D16" s="3" t="s">
        <v>30</v>
      </c>
      <c r="H16" s="1" t="s">
        <v>70</v>
      </c>
      <c r="K16" s="4"/>
      <c r="L16" s="5"/>
      <c r="M16" s="6"/>
      <c r="N16" s="7" t="s">
        <v>118</v>
      </c>
      <c r="O16" s="8" t="s">
        <v>131</v>
      </c>
      <c r="P16" s="9"/>
      <c r="Q16" s="10"/>
      <c r="R16" s="11"/>
      <c r="S16" s="12"/>
      <c r="U16" s="13"/>
    </row>
    <row r="17" spans="2:21" x14ac:dyDescent="0.3">
      <c r="B17">
        <v>10</v>
      </c>
      <c r="D17" s="3" t="s">
        <v>31</v>
      </c>
      <c r="H17" s="1" t="s">
        <v>71</v>
      </c>
      <c r="K17" s="4"/>
      <c r="L17" s="5"/>
      <c r="M17" s="6"/>
      <c r="N17" s="7" t="s">
        <v>115</v>
      </c>
      <c r="O17" s="8" t="s">
        <v>175</v>
      </c>
      <c r="P17" s="9"/>
      <c r="Q17" s="10"/>
      <c r="R17" s="11"/>
      <c r="S17" s="12"/>
      <c r="U17" s="13"/>
    </row>
    <row r="18" spans="2:21" x14ac:dyDescent="0.3">
      <c r="B18">
        <v>11</v>
      </c>
      <c r="K18" s="4"/>
      <c r="L18" s="5"/>
      <c r="M18" s="6"/>
      <c r="N18" s="7" t="s">
        <v>116</v>
      </c>
      <c r="O18" s="8" t="s">
        <v>183</v>
      </c>
      <c r="P18" s="9"/>
      <c r="Q18" s="10"/>
      <c r="R18" s="11"/>
      <c r="S18" s="12"/>
      <c r="U18" s="13"/>
    </row>
    <row r="19" spans="2:21" x14ac:dyDescent="0.3">
      <c r="B19">
        <v>12</v>
      </c>
    </row>
  </sheetData>
  <sortState xmlns:xlrd2="http://schemas.microsoft.com/office/spreadsheetml/2017/richdata2" ref="J39:J49">
    <sortCondition ref="J39:J49"/>
  </sortState>
  <conditionalFormatting sqref="J3:J13">
    <cfRule type="duplicateValues" dxfId="30" priority="1"/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8FD5-8924-4FF2-A0D9-95DE03884D81}">
  <sheetPr codeName="Hoja3"/>
  <dimension ref="A1:F74"/>
  <sheetViews>
    <sheetView zoomScaleNormal="100" workbookViewId="0"/>
  </sheetViews>
  <sheetFormatPr baseColWidth="10" defaultColWidth="10.77734375" defaultRowHeight="14.4" x14ac:dyDescent="0.3"/>
  <cols>
    <col min="1" max="1" width="13.44140625" bestFit="1" customWidth="1"/>
    <col min="2" max="2" width="15.77734375" bestFit="1" customWidth="1"/>
    <col min="3" max="3" width="16.5546875" bestFit="1" customWidth="1"/>
    <col min="4" max="4" width="10.21875" bestFit="1" customWidth="1"/>
    <col min="5" max="5" width="8.5546875" bestFit="1" customWidth="1"/>
    <col min="6" max="6" width="14" bestFit="1" customWidth="1"/>
  </cols>
  <sheetData>
    <row r="1" spans="1:6" x14ac:dyDescent="0.3">
      <c r="A1" s="1" t="s">
        <v>25</v>
      </c>
      <c r="B1" s="1" t="s">
        <v>26</v>
      </c>
      <c r="C1" s="1" t="s">
        <v>171</v>
      </c>
      <c r="D1" s="1" t="s">
        <v>19</v>
      </c>
      <c r="E1" s="1" t="s">
        <v>27</v>
      </c>
      <c r="F1" s="1" t="s">
        <v>20</v>
      </c>
    </row>
    <row r="2" spans="1:6" x14ac:dyDescent="0.3">
      <c r="A2" s="1" t="s">
        <v>21</v>
      </c>
      <c r="B2" s="1" t="s">
        <v>34</v>
      </c>
      <c r="C2" s="1" t="s">
        <v>176</v>
      </c>
      <c r="D2" s="1" t="s">
        <v>11</v>
      </c>
      <c r="E2" s="1">
        <v>2026</v>
      </c>
      <c r="F2" s="14">
        <v>1500000</v>
      </c>
    </row>
    <row r="3" spans="1:6" x14ac:dyDescent="0.3">
      <c r="A3" s="1" t="s">
        <v>21</v>
      </c>
      <c r="B3" s="1" t="s">
        <v>34</v>
      </c>
      <c r="C3" s="1" t="s">
        <v>176</v>
      </c>
      <c r="D3" s="1" t="s">
        <v>17</v>
      </c>
      <c r="E3" s="1">
        <v>2026</v>
      </c>
      <c r="F3" s="14">
        <v>1500000</v>
      </c>
    </row>
    <row r="4" spans="1:6" x14ac:dyDescent="0.3">
      <c r="A4" s="1" t="s">
        <v>42</v>
      </c>
      <c r="B4" s="1" t="s">
        <v>51</v>
      </c>
      <c r="C4" s="1" t="s">
        <v>177</v>
      </c>
      <c r="D4" s="1" t="s">
        <v>13</v>
      </c>
      <c r="E4" s="1">
        <v>2026</v>
      </c>
      <c r="F4" s="14">
        <v>250000</v>
      </c>
    </row>
    <row r="5" spans="1:6" x14ac:dyDescent="0.3">
      <c r="A5" s="1" t="s">
        <v>21</v>
      </c>
      <c r="B5" s="1" t="s">
        <v>32</v>
      </c>
      <c r="C5" s="1" t="s">
        <v>179</v>
      </c>
      <c r="D5" s="1" t="s">
        <v>6</v>
      </c>
      <c r="E5" s="1">
        <v>2026</v>
      </c>
      <c r="F5" s="14">
        <v>3000000</v>
      </c>
    </row>
    <row r="6" spans="1:6" x14ac:dyDescent="0.3">
      <c r="A6" s="1" t="s">
        <v>21</v>
      </c>
      <c r="B6" s="1" t="s">
        <v>32</v>
      </c>
      <c r="C6" s="1" t="s">
        <v>179</v>
      </c>
      <c r="D6" s="1" t="s">
        <v>7</v>
      </c>
      <c r="E6" s="1">
        <v>2026</v>
      </c>
      <c r="F6" s="14">
        <v>3000000</v>
      </c>
    </row>
    <row r="7" spans="1:6" x14ac:dyDescent="0.3">
      <c r="A7" s="1" t="s">
        <v>21</v>
      </c>
      <c r="B7" s="1" t="s">
        <v>32</v>
      </c>
      <c r="C7" s="1" t="s">
        <v>179</v>
      </c>
      <c r="D7" s="1" t="s">
        <v>8</v>
      </c>
      <c r="E7" s="1">
        <v>2026</v>
      </c>
      <c r="F7" s="14">
        <v>3000000</v>
      </c>
    </row>
    <row r="8" spans="1:6" x14ac:dyDescent="0.3">
      <c r="A8" s="1" t="s">
        <v>21</v>
      </c>
      <c r="B8" s="1" t="s">
        <v>32</v>
      </c>
      <c r="C8" s="1" t="s">
        <v>179</v>
      </c>
      <c r="D8" s="1" t="s">
        <v>9</v>
      </c>
      <c r="E8" s="1">
        <v>2026</v>
      </c>
      <c r="F8" s="14">
        <v>3000000</v>
      </c>
    </row>
    <row r="9" spans="1:6" x14ac:dyDescent="0.3">
      <c r="A9" s="1" t="s">
        <v>21</v>
      </c>
      <c r="B9" s="1" t="s">
        <v>32</v>
      </c>
      <c r="C9" s="1" t="s">
        <v>179</v>
      </c>
      <c r="D9" s="1" t="s">
        <v>10</v>
      </c>
      <c r="E9" s="1">
        <v>2026</v>
      </c>
      <c r="F9" s="14">
        <v>3000000</v>
      </c>
    </row>
    <row r="10" spans="1:6" x14ac:dyDescent="0.3">
      <c r="A10" s="1" t="s">
        <v>21</v>
      </c>
      <c r="B10" s="1" t="s">
        <v>32</v>
      </c>
      <c r="C10" s="1" t="s">
        <v>179</v>
      </c>
      <c r="D10" s="1" t="s">
        <v>11</v>
      </c>
      <c r="E10" s="1">
        <v>2026</v>
      </c>
      <c r="F10" s="14">
        <v>3000000</v>
      </c>
    </row>
    <row r="11" spans="1:6" x14ac:dyDescent="0.3">
      <c r="A11" s="1" t="s">
        <v>21</v>
      </c>
      <c r="B11" s="1" t="s">
        <v>32</v>
      </c>
      <c r="C11" s="1" t="s">
        <v>179</v>
      </c>
      <c r="D11" s="1" t="s">
        <v>12</v>
      </c>
      <c r="E11" s="1">
        <v>2026</v>
      </c>
      <c r="F11" s="14">
        <v>3000000</v>
      </c>
    </row>
    <row r="12" spans="1:6" x14ac:dyDescent="0.3">
      <c r="A12" s="1" t="s">
        <v>21</v>
      </c>
      <c r="B12" s="1" t="s">
        <v>32</v>
      </c>
      <c r="C12" s="1" t="s">
        <v>179</v>
      </c>
      <c r="D12" s="1" t="s">
        <v>13</v>
      </c>
      <c r="E12" s="1">
        <v>2026</v>
      </c>
      <c r="F12" s="14">
        <v>3000000</v>
      </c>
    </row>
    <row r="13" spans="1:6" x14ac:dyDescent="0.3">
      <c r="A13" s="1" t="s">
        <v>21</v>
      </c>
      <c r="B13" s="1" t="s">
        <v>32</v>
      </c>
      <c r="C13" s="1" t="s">
        <v>179</v>
      </c>
      <c r="D13" s="1" t="s">
        <v>14</v>
      </c>
      <c r="E13" s="1">
        <v>2026</v>
      </c>
      <c r="F13" s="14">
        <v>3000000</v>
      </c>
    </row>
    <row r="14" spans="1:6" x14ac:dyDescent="0.3">
      <c r="A14" s="1" t="s">
        <v>21</v>
      </c>
      <c r="B14" s="1" t="s">
        <v>32</v>
      </c>
      <c r="C14" s="1" t="s">
        <v>179</v>
      </c>
      <c r="D14" s="1" t="s">
        <v>15</v>
      </c>
      <c r="E14" s="1">
        <v>2026</v>
      </c>
      <c r="F14" s="14">
        <v>3000000</v>
      </c>
    </row>
    <row r="15" spans="1:6" x14ac:dyDescent="0.3">
      <c r="A15" s="1" t="s">
        <v>21</v>
      </c>
      <c r="B15" s="1" t="s">
        <v>32</v>
      </c>
      <c r="C15" s="1" t="s">
        <v>179</v>
      </c>
      <c r="D15" s="1" t="s">
        <v>16</v>
      </c>
      <c r="E15" s="1">
        <v>2026</v>
      </c>
      <c r="F15" s="14">
        <v>3000000</v>
      </c>
    </row>
    <row r="16" spans="1:6" x14ac:dyDescent="0.3">
      <c r="A16" s="1" t="s">
        <v>21</v>
      </c>
      <c r="B16" s="1" t="s">
        <v>32</v>
      </c>
      <c r="C16" s="1" t="s">
        <v>179</v>
      </c>
      <c r="D16" s="1" t="s">
        <v>17</v>
      </c>
      <c r="E16" s="1">
        <v>2026</v>
      </c>
      <c r="F16" s="14">
        <v>3000000</v>
      </c>
    </row>
    <row r="17" spans="1:6" x14ac:dyDescent="0.3">
      <c r="A17" s="1" t="s">
        <v>42</v>
      </c>
      <c r="B17" s="1" t="s">
        <v>45</v>
      </c>
      <c r="C17" s="1" t="s">
        <v>98</v>
      </c>
      <c r="D17" s="1" t="s">
        <v>6</v>
      </c>
      <c r="E17" s="1">
        <v>2026</v>
      </c>
      <c r="F17" s="14">
        <v>396000</v>
      </c>
    </row>
    <row r="18" spans="1:6" x14ac:dyDescent="0.3">
      <c r="A18" s="1" t="s">
        <v>42</v>
      </c>
      <c r="B18" s="1" t="s">
        <v>45</v>
      </c>
      <c r="C18" s="1" t="s">
        <v>98</v>
      </c>
      <c r="D18" s="1" t="s">
        <v>7</v>
      </c>
      <c r="E18" s="1">
        <v>2026</v>
      </c>
      <c r="F18" s="14">
        <v>396000</v>
      </c>
    </row>
    <row r="19" spans="1:6" x14ac:dyDescent="0.3">
      <c r="A19" s="1" t="s">
        <v>42</v>
      </c>
      <c r="B19" s="1" t="s">
        <v>45</v>
      </c>
      <c r="C19" s="1" t="s">
        <v>98</v>
      </c>
      <c r="D19" s="1" t="s">
        <v>8</v>
      </c>
      <c r="E19" s="1">
        <v>2026</v>
      </c>
      <c r="F19" s="14">
        <v>396000</v>
      </c>
    </row>
    <row r="20" spans="1:6" x14ac:dyDescent="0.3">
      <c r="A20" s="1" t="s">
        <v>42</v>
      </c>
      <c r="B20" s="1" t="s">
        <v>45</v>
      </c>
      <c r="C20" s="1" t="s">
        <v>98</v>
      </c>
      <c r="D20" s="1" t="s">
        <v>9</v>
      </c>
      <c r="E20" s="1">
        <v>2026</v>
      </c>
      <c r="F20" s="14">
        <v>396000</v>
      </c>
    </row>
    <row r="21" spans="1:6" x14ac:dyDescent="0.3">
      <c r="A21" s="1" t="s">
        <v>42</v>
      </c>
      <c r="B21" s="1" t="s">
        <v>45</v>
      </c>
      <c r="C21" s="1" t="s">
        <v>98</v>
      </c>
      <c r="D21" s="1" t="s">
        <v>10</v>
      </c>
      <c r="E21" s="1">
        <v>2026</v>
      </c>
      <c r="F21" s="14">
        <v>396000</v>
      </c>
    </row>
    <row r="22" spans="1:6" x14ac:dyDescent="0.3">
      <c r="A22" s="1" t="s">
        <v>42</v>
      </c>
      <c r="B22" s="1" t="s">
        <v>45</v>
      </c>
      <c r="C22" s="1" t="s">
        <v>98</v>
      </c>
      <c r="D22" s="1" t="s">
        <v>11</v>
      </c>
      <c r="E22" s="1">
        <v>2026</v>
      </c>
      <c r="F22" s="14">
        <v>396000</v>
      </c>
    </row>
    <row r="23" spans="1:6" x14ac:dyDescent="0.3">
      <c r="A23" s="1" t="s">
        <v>42</v>
      </c>
      <c r="B23" s="1" t="s">
        <v>45</v>
      </c>
      <c r="C23" s="1" t="s">
        <v>98</v>
      </c>
      <c r="D23" s="1" t="s">
        <v>12</v>
      </c>
      <c r="E23" s="1">
        <v>2026</v>
      </c>
      <c r="F23" s="14">
        <v>396000</v>
      </c>
    </row>
    <row r="24" spans="1:6" x14ac:dyDescent="0.3">
      <c r="A24" s="1" t="s">
        <v>42</v>
      </c>
      <c r="B24" s="1" t="s">
        <v>45</v>
      </c>
      <c r="C24" s="1" t="s">
        <v>98</v>
      </c>
      <c r="D24" s="1" t="s">
        <v>13</v>
      </c>
      <c r="E24" s="1">
        <v>2026</v>
      </c>
      <c r="F24" s="14">
        <v>396000</v>
      </c>
    </row>
    <row r="25" spans="1:6" x14ac:dyDescent="0.3">
      <c r="A25" s="1" t="s">
        <v>42</v>
      </c>
      <c r="B25" s="1" t="s">
        <v>45</v>
      </c>
      <c r="C25" s="1" t="s">
        <v>98</v>
      </c>
      <c r="D25" s="1" t="s">
        <v>14</v>
      </c>
      <c r="E25" s="1">
        <v>2026</v>
      </c>
      <c r="F25" s="14">
        <v>396000</v>
      </c>
    </row>
    <row r="26" spans="1:6" x14ac:dyDescent="0.3">
      <c r="A26" s="1" t="s">
        <v>42</v>
      </c>
      <c r="B26" s="1" t="s">
        <v>45</v>
      </c>
      <c r="C26" s="1" t="s">
        <v>98</v>
      </c>
      <c r="D26" s="1" t="s">
        <v>15</v>
      </c>
      <c r="E26" s="1">
        <v>2026</v>
      </c>
      <c r="F26" s="14">
        <v>396000</v>
      </c>
    </row>
    <row r="27" spans="1:6" x14ac:dyDescent="0.3">
      <c r="A27" s="1" t="s">
        <v>42</v>
      </c>
      <c r="B27" s="1" t="s">
        <v>45</v>
      </c>
      <c r="C27" s="1" t="s">
        <v>98</v>
      </c>
      <c r="D27" s="1" t="s">
        <v>16</v>
      </c>
      <c r="E27" s="1">
        <v>2026</v>
      </c>
      <c r="F27" s="14">
        <v>396000</v>
      </c>
    </row>
    <row r="28" spans="1:6" x14ac:dyDescent="0.3">
      <c r="A28" s="1" t="s">
        <v>42</v>
      </c>
      <c r="B28" s="1" t="s">
        <v>45</v>
      </c>
      <c r="C28" s="1" t="s">
        <v>98</v>
      </c>
      <c r="D28" s="1" t="s">
        <v>17</v>
      </c>
      <c r="E28" s="1">
        <v>2026</v>
      </c>
      <c r="F28" s="14">
        <v>396000</v>
      </c>
    </row>
    <row r="29" spans="1:6" x14ac:dyDescent="0.3">
      <c r="A29" s="1" t="s">
        <v>42</v>
      </c>
      <c r="B29" s="1" t="s">
        <v>51</v>
      </c>
      <c r="C29" s="1" t="s">
        <v>172</v>
      </c>
      <c r="D29" s="1" t="s">
        <v>6</v>
      </c>
      <c r="E29" s="1">
        <v>2026</v>
      </c>
      <c r="F29" s="14">
        <v>800000</v>
      </c>
    </row>
    <row r="30" spans="1:6" x14ac:dyDescent="0.3">
      <c r="A30" s="1" t="s">
        <v>42</v>
      </c>
      <c r="B30" s="1" t="s">
        <v>51</v>
      </c>
      <c r="C30" s="1" t="s">
        <v>172</v>
      </c>
      <c r="D30" s="1" t="s">
        <v>7</v>
      </c>
      <c r="E30" s="1">
        <v>2026</v>
      </c>
      <c r="F30" s="14">
        <v>800000</v>
      </c>
    </row>
    <row r="31" spans="1:6" x14ac:dyDescent="0.3">
      <c r="A31" s="1" t="s">
        <v>42</v>
      </c>
      <c r="B31" s="1" t="s">
        <v>51</v>
      </c>
      <c r="C31" s="1" t="s">
        <v>172</v>
      </c>
      <c r="D31" s="1" t="s">
        <v>8</v>
      </c>
      <c r="E31" s="1">
        <v>2026</v>
      </c>
      <c r="F31" s="14">
        <v>800000</v>
      </c>
    </row>
    <row r="32" spans="1:6" x14ac:dyDescent="0.3">
      <c r="A32" s="1" t="s">
        <v>42</v>
      </c>
      <c r="B32" s="1" t="s">
        <v>51</v>
      </c>
      <c r="C32" s="1" t="s">
        <v>172</v>
      </c>
      <c r="D32" s="1" t="s">
        <v>9</v>
      </c>
      <c r="E32" s="1">
        <v>2026</v>
      </c>
      <c r="F32" s="14">
        <v>800000</v>
      </c>
    </row>
    <row r="33" spans="1:6" x14ac:dyDescent="0.3">
      <c r="A33" s="1" t="s">
        <v>42</v>
      </c>
      <c r="B33" s="1" t="s">
        <v>51</v>
      </c>
      <c r="C33" s="1" t="s">
        <v>172</v>
      </c>
      <c r="D33" s="1" t="s">
        <v>10</v>
      </c>
      <c r="E33" s="1">
        <v>2026</v>
      </c>
      <c r="F33" s="14">
        <v>800000</v>
      </c>
    </row>
    <row r="34" spans="1:6" x14ac:dyDescent="0.3">
      <c r="A34" s="1" t="s">
        <v>42</v>
      </c>
      <c r="B34" s="1" t="s">
        <v>51</v>
      </c>
      <c r="C34" s="1" t="s">
        <v>172</v>
      </c>
      <c r="D34" s="1" t="s">
        <v>11</v>
      </c>
      <c r="E34" s="1">
        <v>2026</v>
      </c>
      <c r="F34" s="14">
        <v>800000</v>
      </c>
    </row>
    <row r="35" spans="1:6" x14ac:dyDescent="0.3">
      <c r="A35" s="1" t="s">
        <v>42</v>
      </c>
      <c r="B35" s="1" t="s">
        <v>51</v>
      </c>
      <c r="C35" s="1" t="s">
        <v>172</v>
      </c>
      <c r="D35" s="1" t="s">
        <v>12</v>
      </c>
      <c r="E35" s="1">
        <v>2026</v>
      </c>
      <c r="F35" s="14">
        <v>800000</v>
      </c>
    </row>
    <row r="36" spans="1:6" x14ac:dyDescent="0.3">
      <c r="A36" s="1" t="s">
        <v>42</v>
      </c>
      <c r="B36" s="1" t="s">
        <v>51</v>
      </c>
      <c r="C36" s="1" t="s">
        <v>172</v>
      </c>
      <c r="D36" s="1" t="s">
        <v>13</v>
      </c>
      <c r="E36" s="1">
        <v>2026</v>
      </c>
      <c r="F36" s="14">
        <v>800000</v>
      </c>
    </row>
    <row r="37" spans="1:6" x14ac:dyDescent="0.3">
      <c r="A37" s="1" t="s">
        <v>42</v>
      </c>
      <c r="B37" s="1" t="s">
        <v>51</v>
      </c>
      <c r="C37" s="1" t="s">
        <v>172</v>
      </c>
      <c r="D37" s="1" t="s">
        <v>14</v>
      </c>
      <c r="E37" s="1">
        <v>2026</v>
      </c>
      <c r="F37" s="14">
        <v>800000</v>
      </c>
    </row>
    <row r="38" spans="1:6" x14ac:dyDescent="0.3">
      <c r="A38" s="1" t="s">
        <v>42</v>
      </c>
      <c r="B38" s="1" t="s">
        <v>51</v>
      </c>
      <c r="C38" s="1" t="s">
        <v>172</v>
      </c>
      <c r="D38" s="1" t="s">
        <v>15</v>
      </c>
      <c r="E38" s="1">
        <v>2026</v>
      </c>
      <c r="F38" s="14">
        <v>800000</v>
      </c>
    </row>
    <row r="39" spans="1:6" x14ac:dyDescent="0.3">
      <c r="A39" s="1" t="s">
        <v>42</v>
      </c>
      <c r="B39" s="1" t="s">
        <v>51</v>
      </c>
      <c r="C39" s="1" t="s">
        <v>172</v>
      </c>
      <c r="D39" s="1" t="s">
        <v>16</v>
      </c>
      <c r="E39" s="1">
        <v>2026</v>
      </c>
      <c r="F39" s="14">
        <v>800000</v>
      </c>
    </row>
    <row r="40" spans="1:6" x14ac:dyDescent="0.3">
      <c r="A40" s="1" t="s">
        <v>42</v>
      </c>
      <c r="B40" s="1" t="s">
        <v>51</v>
      </c>
      <c r="C40" s="1" t="s">
        <v>172</v>
      </c>
      <c r="D40" s="1" t="s">
        <v>17</v>
      </c>
      <c r="E40" s="1">
        <v>2026</v>
      </c>
      <c r="F40" s="14">
        <v>800000</v>
      </c>
    </row>
    <row r="41" spans="1:6" x14ac:dyDescent="0.3">
      <c r="A41" s="1" t="s">
        <v>42</v>
      </c>
      <c r="B41" s="1" t="s">
        <v>47</v>
      </c>
      <c r="C41" s="1" t="s">
        <v>128</v>
      </c>
      <c r="D41" s="1" t="s">
        <v>6</v>
      </c>
      <c r="E41" s="1">
        <v>2026</v>
      </c>
      <c r="F41" s="14">
        <v>15000</v>
      </c>
    </row>
    <row r="42" spans="1:6" x14ac:dyDescent="0.3">
      <c r="A42" s="1" t="s">
        <v>42</v>
      </c>
      <c r="B42" s="1" t="s">
        <v>47</v>
      </c>
      <c r="C42" s="1" t="s">
        <v>128</v>
      </c>
      <c r="D42" s="1" t="s">
        <v>7</v>
      </c>
      <c r="E42" s="1">
        <v>2026</v>
      </c>
      <c r="F42" s="14">
        <v>15000</v>
      </c>
    </row>
    <row r="43" spans="1:6" x14ac:dyDescent="0.3">
      <c r="A43" s="1" t="s">
        <v>42</v>
      </c>
      <c r="B43" s="1" t="s">
        <v>47</v>
      </c>
      <c r="C43" s="1" t="s">
        <v>128</v>
      </c>
      <c r="D43" s="1" t="s">
        <v>8</v>
      </c>
      <c r="E43" s="1">
        <v>2026</v>
      </c>
      <c r="F43" s="14">
        <v>15000</v>
      </c>
    </row>
    <row r="44" spans="1:6" x14ac:dyDescent="0.3">
      <c r="A44" s="1" t="s">
        <v>42</v>
      </c>
      <c r="B44" s="1" t="s">
        <v>47</v>
      </c>
      <c r="C44" s="1" t="s">
        <v>128</v>
      </c>
      <c r="D44" s="1" t="s">
        <v>9</v>
      </c>
      <c r="E44" s="1">
        <v>2026</v>
      </c>
      <c r="F44" s="14">
        <v>15000</v>
      </c>
    </row>
    <row r="45" spans="1:6" x14ac:dyDescent="0.3">
      <c r="A45" s="1" t="s">
        <v>42</v>
      </c>
      <c r="B45" s="1" t="s">
        <v>47</v>
      </c>
      <c r="C45" s="1" t="s">
        <v>128</v>
      </c>
      <c r="D45" s="1" t="s">
        <v>10</v>
      </c>
      <c r="E45" s="1">
        <v>2026</v>
      </c>
      <c r="F45" s="14">
        <v>15000</v>
      </c>
    </row>
    <row r="46" spans="1:6" x14ac:dyDescent="0.3">
      <c r="A46" s="1" t="s">
        <v>42</v>
      </c>
      <c r="B46" s="1" t="s">
        <v>47</v>
      </c>
      <c r="C46" s="1" t="s">
        <v>128</v>
      </c>
      <c r="D46" s="1" t="s">
        <v>11</v>
      </c>
      <c r="E46" s="1">
        <v>2026</v>
      </c>
      <c r="F46" s="14">
        <v>15000</v>
      </c>
    </row>
    <row r="47" spans="1:6" x14ac:dyDescent="0.3">
      <c r="A47" s="1" t="s">
        <v>42</v>
      </c>
      <c r="B47" s="1" t="s">
        <v>47</v>
      </c>
      <c r="C47" s="1" t="s">
        <v>128</v>
      </c>
      <c r="D47" s="1" t="s">
        <v>12</v>
      </c>
      <c r="E47" s="1">
        <v>2026</v>
      </c>
      <c r="F47" s="14">
        <v>15000</v>
      </c>
    </row>
    <row r="48" spans="1:6" x14ac:dyDescent="0.3">
      <c r="A48" s="1" t="s">
        <v>42</v>
      </c>
      <c r="B48" s="1" t="s">
        <v>47</v>
      </c>
      <c r="C48" s="1" t="s">
        <v>128</v>
      </c>
      <c r="D48" s="1" t="s">
        <v>13</v>
      </c>
      <c r="E48" s="1">
        <v>2026</v>
      </c>
      <c r="F48" s="14">
        <v>15000</v>
      </c>
    </row>
    <row r="49" spans="1:6" x14ac:dyDescent="0.3">
      <c r="A49" s="1" t="s">
        <v>42</v>
      </c>
      <c r="B49" s="1" t="s">
        <v>47</v>
      </c>
      <c r="C49" s="1" t="s">
        <v>128</v>
      </c>
      <c r="D49" s="1" t="s">
        <v>14</v>
      </c>
      <c r="E49" s="1">
        <v>2026</v>
      </c>
      <c r="F49" s="14">
        <v>15000</v>
      </c>
    </row>
    <row r="50" spans="1:6" x14ac:dyDescent="0.3">
      <c r="A50" s="1" t="s">
        <v>42</v>
      </c>
      <c r="B50" s="1" t="s">
        <v>47</v>
      </c>
      <c r="C50" s="1" t="s">
        <v>128</v>
      </c>
      <c r="D50" s="1" t="s">
        <v>15</v>
      </c>
      <c r="E50" s="1">
        <v>2026</v>
      </c>
      <c r="F50" s="14">
        <v>15000</v>
      </c>
    </row>
    <row r="51" spans="1:6" x14ac:dyDescent="0.3">
      <c r="A51" s="1" t="s">
        <v>42</v>
      </c>
      <c r="B51" s="1" t="s">
        <v>47</v>
      </c>
      <c r="C51" s="1" t="s">
        <v>128</v>
      </c>
      <c r="D51" s="1" t="s">
        <v>16</v>
      </c>
      <c r="E51" s="1">
        <v>2026</v>
      </c>
      <c r="F51" s="14">
        <v>15000</v>
      </c>
    </row>
    <row r="52" spans="1:6" x14ac:dyDescent="0.3">
      <c r="A52" s="1" t="s">
        <v>42</v>
      </c>
      <c r="B52" s="1" t="s">
        <v>47</v>
      </c>
      <c r="C52" s="1" t="s">
        <v>128</v>
      </c>
      <c r="D52" s="1" t="s">
        <v>17</v>
      </c>
      <c r="E52" s="1">
        <v>2026</v>
      </c>
      <c r="F52" s="14">
        <v>15000</v>
      </c>
    </row>
    <row r="53" spans="1:6" x14ac:dyDescent="0.3">
      <c r="A53" s="1" t="s">
        <v>42</v>
      </c>
      <c r="B53" s="1" t="s">
        <v>46</v>
      </c>
      <c r="C53" s="1" t="s">
        <v>107</v>
      </c>
      <c r="D53" s="1" t="s">
        <v>15</v>
      </c>
      <c r="E53" s="1">
        <v>2026</v>
      </c>
      <c r="F53" s="14">
        <v>13000000</v>
      </c>
    </row>
    <row r="54" spans="1:6" x14ac:dyDescent="0.3">
      <c r="A54" s="1" t="s">
        <v>21</v>
      </c>
      <c r="B54" s="1" t="s">
        <v>37</v>
      </c>
      <c r="C54" s="1" t="s">
        <v>185</v>
      </c>
      <c r="D54" s="1" t="s">
        <v>6</v>
      </c>
      <c r="E54" s="1">
        <v>2026</v>
      </c>
      <c r="F54" s="14">
        <v>500000</v>
      </c>
    </row>
    <row r="55" spans="1:6" x14ac:dyDescent="0.3">
      <c r="A55" s="1" t="s">
        <v>21</v>
      </c>
      <c r="B55" s="1" t="s">
        <v>37</v>
      </c>
      <c r="C55" s="1" t="s">
        <v>185</v>
      </c>
      <c r="D55" s="1" t="s">
        <v>7</v>
      </c>
      <c r="E55" s="1">
        <v>2026</v>
      </c>
      <c r="F55" s="14">
        <v>500000</v>
      </c>
    </row>
    <row r="56" spans="1:6" x14ac:dyDescent="0.3">
      <c r="A56" s="1" t="s">
        <v>21</v>
      </c>
      <c r="B56" s="1" t="s">
        <v>37</v>
      </c>
      <c r="C56" s="1" t="s">
        <v>185</v>
      </c>
      <c r="D56" s="1" t="s">
        <v>8</v>
      </c>
      <c r="E56" s="1">
        <v>2026</v>
      </c>
      <c r="F56" s="14">
        <v>500000</v>
      </c>
    </row>
    <row r="57" spans="1:6" x14ac:dyDescent="0.3">
      <c r="A57" s="1" t="s">
        <v>21</v>
      </c>
      <c r="B57" s="1" t="s">
        <v>37</v>
      </c>
      <c r="C57" s="1" t="s">
        <v>185</v>
      </c>
      <c r="D57" s="1" t="s">
        <v>9</v>
      </c>
      <c r="E57" s="1">
        <v>2026</v>
      </c>
      <c r="F57" s="14">
        <v>500000</v>
      </c>
    </row>
    <row r="58" spans="1:6" x14ac:dyDescent="0.3">
      <c r="A58" s="1" t="s">
        <v>21</v>
      </c>
      <c r="B58" s="1" t="s">
        <v>37</v>
      </c>
      <c r="C58" s="1" t="s">
        <v>185</v>
      </c>
      <c r="D58" s="1" t="s">
        <v>10</v>
      </c>
      <c r="E58" s="1">
        <v>2026</v>
      </c>
      <c r="F58" s="14">
        <v>500000</v>
      </c>
    </row>
    <row r="59" spans="1:6" x14ac:dyDescent="0.3">
      <c r="A59" s="1" t="s">
        <v>21</v>
      </c>
      <c r="B59" s="1" t="s">
        <v>37</v>
      </c>
      <c r="C59" s="1" t="s">
        <v>185</v>
      </c>
      <c r="D59" s="1" t="s">
        <v>11</v>
      </c>
      <c r="E59" s="1">
        <v>2026</v>
      </c>
      <c r="F59" s="14">
        <v>500000</v>
      </c>
    </row>
    <row r="60" spans="1:6" x14ac:dyDescent="0.3">
      <c r="A60" s="1" t="s">
        <v>21</v>
      </c>
      <c r="B60" s="1" t="s">
        <v>37</v>
      </c>
      <c r="C60" s="1" t="s">
        <v>185</v>
      </c>
      <c r="D60" s="1" t="s">
        <v>12</v>
      </c>
      <c r="E60" s="1">
        <v>2026</v>
      </c>
      <c r="F60" s="14">
        <v>500000</v>
      </c>
    </row>
    <row r="61" spans="1:6" x14ac:dyDescent="0.3">
      <c r="A61" s="1" t="s">
        <v>21</v>
      </c>
      <c r="B61" s="1" t="s">
        <v>37</v>
      </c>
      <c r="C61" s="1" t="s">
        <v>185</v>
      </c>
      <c r="D61" s="1" t="s">
        <v>13</v>
      </c>
      <c r="E61" s="1">
        <v>2026</v>
      </c>
      <c r="F61" s="14">
        <v>500000</v>
      </c>
    </row>
    <row r="62" spans="1:6" x14ac:dyDescent="0.3">
      <c r="A62" s="1" t="s">
        <v>21</v>
      </c>
      <c r="B62" s="1" t="s">
        <v>37</v>
      </c>
      <c r="C62" s="1" t="s">
        <v>185</v>
      </c>
      <c r="D62" s="1" t="s">
        <v>14</v>
      </c>
      <c r="E62" s="1">
        <v>2026</v>
      </c>
      <c r="F62" s="14">
        <v>500000</v>
      </c>
    </row>
    <row r="63" spans="1:6" x14ac:dyDescent="0.3">
      <c r="A63" s="1" t="s">
        <v>21</v>
      </c>
      <c r="B63" s="1" t="s">
        <v>37</v>
      </c>
      <c r="C63" s="1" t="s">
        <v>185</v>
      </c>
      <c r="D63" s="1" t="s">
        <v>15</v>
      </c>
      <c r="E63" s="1">
        <v>2026</v>
      </c>
      <c r="F63" s="14">
        <v>500000</v>
      </c>
    </row>
    <row r="64" spans="1:6" x14ac:dyDescent="0.3">
      <c r="A64" s="1" t="s">
        <v>21</v>
      </c>
      <c r="B64" s="1" t="s">
        <v>37</v>
      </c>
      <c r="C64" s="1" t="s">
        <v>185</v>
      </c>
      <c r="D64" s="1" t="s">
        <v>16</v>
      </c>
      <c r="E64" s="1">
        <v>2026</v>
      </c>
      <c r="F64" s="14">
        <v>500000</v>
      </c>
    </row>
    <row r="65" spans="1:6" x14ac:dyDescent="0.3">
      <c r="A65" s="1" t="s">
        <v>21</v>
      </c>
      <c r="B65" s="1" t="s">
        <v>37</v>
      </c>
      <c r="C65" s="1" t="s">
        <v>185</v>
      </c>
      <c r="D65" s="1" t="s">
        <v>17</v>
      </c>
      <c r="E65" s="1">
        <v>2026</v>
      </c>
      <c r="F65" s="14">
        <v>500000</v>
      </c>
    </row>
    <row r="66" spans="1:6" x14ac:dyDescent="0.3">
      <c r="A66" s="1" t="s">
        <v>42</v>
      </c>
      <c r="B66" s="1" t="s">
        <v>46</v>
      </c>
      <c r="C66" s="1" t="s">
        <v>105</v>
      </c>
      <c r="D66" s="1" t="s">
        <v>7</v>
      </c>
      <c r="E66" s="1">
        <v>2026</v>
      </c>
      <c r="F66" s="14">
        <v>150000</v>
      </c>
    </row>
    <row r="67" spans="1:6" x14ac:dyDescent="0.3">
      <c r="A67" s="1" t="s">
        <v>42</v>
      </c>
      <c r="B67" s="1" t="s">
        <v>46</v>
      </c>
      <c r="C67" s="1" t="s">
        <v>105</v>
      </c>
      <c r="D67" s="1" t="s">
        <v>9</v>
      </c>
      <c r="E67" s="1">
        <v>2026</v>
      </c>
      <c r="F67" s="14">
        <v>150000</v>
      </c>
    </row>
    <row r="68" spans="1:6" x14ac:dyDescent="0.3">
      <c r="A68" s="1" t="s">
        <v>42</v>
      </c>
      <c r="B68" s="1" t="s">
        <v>46</v>
      </c>
      <c r="C68" s="1" t="s">
        <v>105</v>
      </c>
      <c r="D68" s="1" t="s">
        <v>11</v>
      </c>
      <c r="E68" s="1">
        <v>2026</v>
      </c>
      <c r="F68" s="14">
        <v>150000</v>
      </c>
    </row>
    <row r="69" spans="1:6" x14ac:dyDescent="0.3">
      <c r="A69" s="1" t="s">
        <v>42</v>
      </c>
      <c r="B69" s="1" t="s">
        <v>46</v>
      </c>
      <c r="C69" s="1" t="s">
        <v>105</v>
      </c>
      <c r="D69" s="1" t="s">
        <v>13</v>
      </c>
      <c r="E69" s="1">
        <v>2026</v>
      </c>
      <c r="F69" s="14">
        <v>150000</v>
      </c>
    </row>
    <row r="70" spans="1:6" x14ac:dyDescent="0.3">
      <c r="A70" s="1" t="s">
        <v>42</v>
      </c>
      <c r="B70" s="1" t="s">
        <v>46</v>
      </c>
      <c r="C70" s="1" t="s">
        <v>105</v>
      </c>
      <c r="D70" s="1" t="s">
        <v>15</v>
      </c>
      <c r="E70" s="1">
        <v>2026</v>
      </c>
      <c r="F70" s="14">
        <v>150000</v>
      </c>
    </row>
    <row r="71" spans="1:6" x14ac:dyDescent="0.3">
      <c r="A71" s="1" t="s">
        <v>42</v>
      </c>
      <c r="B71" s="1" t="s">
        <v>46</v>
      </c>
      <c r="C71" s="1" t="s">
        <v>105</v>
      </c>
      <c r="D71" s="1" t="s">
        <v>17</v>
      </c>
      <c r="E71" s="1">
        <v>2026</v>
      </c>
      <c r="F71" s="14">
        <v>150000</v>
      </c>
    </row>
    <row r="72" spans="1:6" x14ac:dyDescent="0.3">
      <c r="A72" s="1" t="s">
        <v>42</v>
      </c>
      <c r="B72" s="1" t="s">
        <v>52</v>
      </c>
      <c r="C72" s="1" t="s">
        <v>166</v>
      </c>
      <c r="D72" s="1" t="s">
        <v>14</v>
      </c>
      <c r="E72" s="1">
        <v>2026</v>
      </c>
      <c r="F72" s="14">
        <v>60000</v>
      </c>
    </row>
    <row r="73" spans="1:6" x14ac:dyDescent="0.3">
      <c r="A73" s="1" t="s">
        <v>21</v>
      </c>
      <c r="B73" s="1" t="s">
        <v>33</v>
      </c>
      <c r="C73" s="1" t="s">
        <v>180</v>
      </c>
      <c r="D73" s="1" t="s">
        <v>8</v>
      </c>
      <c r="E73" s="1">
        <v>2026</v>
      </c>
      <c r="F73" s="14">
        <v>500000</v>
      </c>
    </row>
    <row r="74" spans="1:6" x14ac:dyDescent="0.3">
      <c r="A74" s="1" t="s">
        <v>21</v>
      </c>
      <c r="B74" s="1" t="s">
        <v>33</v>
      </c>
      <c r="C74" s="1" t="s">
        <v>180</v>
      </c>
      <c r="D74" s="1" t="s">
        <v>14</v>
      </c>
      <c r="E74" s="1">
        <v>2026</v>
      </c>
      <c r="F74" s="14">
        <v>500000</v>
      </c>
    </row>
  </sheetData>
  <phoneticPr fontId="2" type="noConversion"/>
  <dataValidations count="3">
    <dataValidation type="list" allowBlank="1" showInputMessage="1" showErrorMessage="1" sqref="A2:A74" xr:uid="{8271F314-48EE-4347-B218-BD41E8433FB3}">
      <formula1>INDIRECT("Concepto")</formula1>
    </dataValidation>
    <dataValidation type="list" allowBlank="1" showInputMessage="1" showErrorMessage="1" sqref="B2:B74" xr:uid="{F5F02840-3D5F-49C7-825D-B9075AA7A326}">
      <formula1>INDIRECT(A2&amp;"[Elementos]")</formula1>
    </dataValidation>
    <dataValidation type="list" allowBlank="1" showInputMessage="1" showErrorMessage="1" sqref="C2:C74" xr:uid="{4E023B36-7085-4B3E-9621-EDF1A4C99688}">
      <formula1>INDIRECT(A2&amp;"["&amp;B2&amp;"]")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B6FF-5496-4B7C-B387-EDDFD7B5848A}">
  <sheetPr codeName="Hoja5"/>
  <dimension ref="A1:E17"/>
  <sheetViews>
    <sheetView workbookViewId="0">
      <selection activeCell="D2" sqref="D2"/>
    </sheetView>
  </sheetViews>
  <sheetFormatPr baseColWidth="10" defaultColWidth="10.77734375" defaultRowHeight="14.4" x14ac:dyDescent="0.3"/>
  <cols>
    <col min="1" max="1" width="10.44140625" bestFit="1" customWidth="1"/>
    <col min="2" max="2" width="13.44140625" bestFit="1" customWidth="1"/>
    <col min="3" max="3" width="32.77734375" bestFit="1" customWidth="1"/>
    <col min="4" max="4" width="17.88671875" bestFit="1" customWidth="1"/>
    <col min="5" max="5" width="17" customWidth="1"/>
  </cols>
  <sheetData>
    <row r="1" spans="1:5" x14ac:dyDescent="0.3">
      <c r="A1" s="1" t="s">
        <v>173</v>
      </c>
      <c r="B1" s="1" t="s">
        <v>25</v>
      </c>
      <c r="C1" s="1" t="s">
        <v>174</v>
      </c>
      <c r="D1" s="1" t="s">
        <v>171</v>
      </c>
      <c r="E1" s="1" t="s">
        <v>20</v>
      </c>
    </row>
    <row r="2" spans="1:5" x14ac:dyDescent="0.3">
      <c r="A2" s="16">
        <v>46086</v>
      </c>
      <c r="B2" s="1" t="s">
        <v>21</v>
      </c>
      <c r="C2" s="1" t="s">
        <v>41</v>
      </c>
      <c r="D2" s="1" t="s">
        <v>184</v>
      </c>
      <c r="E2" s="2">
        <v>5000000</v>
      </c>
    </row>
    <row r="3" spans="1:5" x14ac:dyDescent="0.3">
      <c r="A3" s="16">
        <v>46253</v>
      </c>
      <c r="B3" s="1" t="s">
        <v>21</v>
      </c>
      <c r="C3" s="1" t="s">
        <v>32</v>
      </c>
      <c r="D3" s="1" t="s">
        <v>180</v>
      </c>
      <c r="E3" s="2">
        <v>3000000</v>
      </c>
    </row>
    <row r="4" spans="1:5" x14ac:dyDescent="0.3">
      <c r="A4" s="16">
        <v>46114</v>
      </c>
      <c r="B4" s="1" t="s">
        <v>42</v>
      </c>
      <c r="C4" s="1" t="s">
        <v>47</v>
      </c>
      <c r="D4" s="1" t="s">
        <v>175</v>
      </c>
      <c r="E4" s="2">
        <v>9000</v>
      </c>
    </row>
    <row r="5" spans="1:5" x14ac:dyDescent="0.3">
      <c r="A5" s="16">
        <v>46253</v>
      </c>
      <c r="B5" s="1" t="s">
        <v>42</v>
      </c>
      <c r="C5" s="1" t="s">
        <v>47</v>
      </c>
      <c r="D5" s="1" t="s">
        <v>175</v>
      </c>
      <c r="E5" s="2">
        <v>9000</v>
      </c>
    </row>
    <row r="6" spans="1:5" x14ac:dyDescent="0.3">
      <c r="A6" s="16">
        <v>46260</v>
      </c>
      <c r="B6" s="1" t="s">
        <v>42</v>
      </c>
      <c r="C6" s="1" t="s">
        <v>47</v>
      </c>
      <c r="D6" s="1" t="s">
        <v>183</v>
      </c>
      <c r="E6" s="2">
        <v>85000</v>
      </c>
    </row>
    <row r="7" spans="1:5" x14ac:dyDescent="0.3">
      <c r="A7" s="16">
        <v>46271</v>
      </c>
      <c r="B7" s="1" t="s">
        <v>42</v>
      </c>
      <c r="C7" s="1" t="s">
        <v>51</v>
      </c>
      <c r="D7" s="1" t="s">
        <v>177</v>
      </c>
      <c r="E7" s="2">
        <v>150000</v>
      </c>
    </row>
    <row r="8" spans="1:5" x14ac:dyDescent="0.3">
      <c r="A8" s="16">
        <v>46273</v>
      </c>
      <c r="B8" s="1" t="s">
        <v>42</v>
      </c>
      <c r="C8" s="1" t="s">
        <v>53</v>
      </c>
      <c r="D8" s="1" t="s">
        <v>151</v>
      </c>
      <c r="E8" s="2">
        <v>45000</v>
      </c>
    </row>
    <row r="9" spans="1:5" x14ac:dyDescent="0.3">
      <c r="A9" s="16">
        <v>46275</v>
      </c>
      <c r="B9" s="1" t="s">
        <v>42</v>
      </c>
      <c r="C9" s="1" t="s">
        <v>44</v>
      </c>
      <c r="D9" s="1" t="s">
        <v>92</v>
      </c>
      <c r="E9" s="2">
        <v>32000</v>
      </c>
    </row>
    <row r="10" spans="1:5" x14ac:dyDescent="0.3">
      <c r="A10" s="16">
        <v>46275</v>
      </c>
      <c r="B10" s="1" t="s">
        <v>21</v>
      </c>
      <c r="C10" s="1" t="s">
        <v>33</v>
      </c>
      <c r="D10" s="1" t="s">
        <v>186</v>
      </c>
      <c r="E10" s="2">
        <v>120000</v>
      </c>
    </row>
    <row r="11" spans="1:5" x14ac:dyDescent="0.3">
      <c r="A11" s="16">
        <v>46280</v>
      </c>
      <c r="B11" s="1" t="s">
        <v>21</v>
      </c>
      <c r="C11" s="1" t="s">
        <v>32</v>
      </c>
      <c r="D11" s="1" t="s">
        <v>187</v>
      </c>
      <c r="E11" s="2">
        <v>1500000</v>
      </c>
    </row>
    <row r="12" spans="1:5" x14ac:dyDescent="0.3">
      <c r="A12" s="16">
        <v>46276</v>
      </c>
      <c r="B12" s="1" t="s">
        <v>42</v>
      </c>
      <c r="C12" s="1" t="s">
        <v>45</v>
      </c>
      <c r="D12" s="1" t="s">
        <v>188</v>
      </c>
      <c r="E12" s="2">
        <v>155000</v>
      </c>
    </row>
    <row r="13" spans="1:5" x14ac:dyDescent="0.3">
      <c r="A13" s="16">
        <v>46283</v>
      </c>
      <c r="B13" s="1" t="s">
        <v>42</v>
      </c>
      <c r="C13" s="1" t="s">
        <v>47</v>
      </c>
      <c r="D13" s="1" t="s">
        <v>52</v>
      </c>
      <c r="E13" s="2">
        <v>5000</v>
      </c>
    </row>
    <row r="14" spans="1:5" x14ac:dyDescent="0.3">
      <c r="A14" s="16">
        <v>46288</v>
      </c>
      <c r="B14" s="1" t="s">
        <v>42</v>
      </c>
      <c r="C14" s="1" t="s">
        <v>45</v>
      </c>
      <c r="D14" s="1" t="s">
        <v>98</v>
      </c>
      <c r="E14" s="2">
        <v>16000</v>
      </c>
    </row>
    <row r="15" spans="1:5" x14ac:dyDescent="0.3">
      <c r="A15" s="16">
        <v>46288</v>
      </c>
      <c r="B15" s="1" t="s">
        <v>42</v>
      </c>
      <c r="C15" s="1" t="s">
        <v>44</v>
      </c>
      <c r="D15" s="1" t="s">
        <v>95</v>
      </c>
      <c r="E15" s="2">
        <v>11230</v>
      </c>
    </row>
    <row r="16" spans="1:5" x14ac:dyDescent="0.3">
      <c r="A16" s="16">
        <v>46290</v>
      </c>
      <c r="B16" s="1" t="s">
        <v>42</v>
      </c>
      <c r="C16" s="1" t="s">
        <v>45</v>
      </c>
      <c r="D16" s="1" t="s">
        <v>102</v>
      </c>
      <c r="E16" s="2">
        <v>80000</v>
      </c>
    </row>
    <row r="17" spans="1:5" x14ac:dyDescent="0.3">
      <c r="A17" s="16">
        <v>46290</v>
      </c>
      <c r="B17" s="1" t="s">
        <v>42</v>
      </c>
      <c r="C17" s="1" t="s">
        <v>52</v>
      </c>
      <c r="D17" s="1" t="s">
        <v>406</v>
      </c>
      <c r="E17" s="2">
        <v>66000</v>
      </c>
    </row>
  </sheetData>
  <dataValidations count="3">
    <dataValidation type="list" allowBlank="1" showInputMessage="1" showErrorMessage="1" sqref="B2:B17" xr:uid="{62300344-2BCD-4E1E-A690-D8D3CE2B3B8E}">
      <formula1>INDIRECT("Concepto")</formula1>
    </dataValidation>
    <dataValidation type="list" allowBlank="1" showInputMessage="1" showErrorMessage="1" sqref="C3:C17 C2" xr:uid="{750506C2-0BB7-44FA-83A8-5DD6910BB8F5}">
      <formula1>INDIRECT(B2&amp;"[Elementos]")</formula1>
    </dataValidation>
    <dataValidation type="list" allowBlank="1" showInputMessage="1" sqref="D2:D17" xr:uid="{5B613F99-68FE-4B6C-8605-60E79D1D3C40}">
      <formula1>INDIRECT(B2&amp;"["&amp;C2&amp;"]")</formula1>
    </dataValidation>
  </dataValidations>
  <pageMargins left="0.7" right="0.7" top="0.75" bottom="0.75" header="0.3" footer="0.3"/>
  <ignoredErrors>
    <ignoredError sqref="D3" listDataValidation="1"/>
  </ignoredErrors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02684-9255-4634-893F-53CC560B2AAF}">
  <sheetPr codeName="Hoja10"/>
  <dimension ref="A2:A3"/>
  <sheetViews>
    <sheetView workbookViewId="0">
      <selection activeCell="B4" sqref="B4"/>
    </sheetView>
  </sheetViews>
  <sheetFormatPr baseColWidth="10" defaultRowHeight="14.4" x14ac:dyDescent="0.3"/>
  <sheetData>
    <row r="2" spans="1:1" x14ac:dyDescent="0.3">
      <c r="A2" s="85" t="s">
        <v>371</v>
      </c>
    </row>
    <row r="3" spans="1:1" x14ac:dyDescent="0.3">
      <c r="A3" s="85" t="s">
        <v>372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5563A-4C8E-4008-B2D5-65624542035A}">
  <sheetPr codeName="Hoja9"/>
  <dimension ref="A1:J38"/>
  <sheetViews>
    <sheetView workbookViewId="0">
      <selection activeCell="H29" sqref="H29"/>
    </sheetView>
  </sheetViews>
  <sheetFormatPr baseColWidth="10" defaultRowHeight="14.4" x14ac:dyDescent="0.3"/>
  <cols>
    <col min="1" max="1" width="14.44140625" customWidth="1"/>
    <col min="2" max="2" width="26.88671875" customWidth="1"/>
    <col min="3" max="3" width="14.44140625" customWidth="1"/>
    <col min="4" max="4" width="10.77734375" customWidth="1"/>
    <col min="5" max="5" width="3.33203125" customWidth="1"/>
    <col min="6" max="6" width="14.44140625" customWidth="1"/>
    <col min="7" max="7" width="26.88671875" customWidth="1"/>
    <col min="8" max="8" width="14.44140625" customWidth="1"/>
    <col min="9" max="9" width="10.77734375" customWidth="1"/>
  </cols>
  <sheetData>
    <row r="1" spans="1:10" ht="30" customHeight="1" x14ac:dyDescent="0.3">
      <c r="A1" s="207" t="s">
        <v>281</v>
      </c>
      <c r="B1" s="207"/>
      <c r="C1" s="207"/>
      <c r="D1" s="22"/>
      <c r="E1" s="22"/>
      <c r="F1" s="22"/>
      <c r="G1" s="22"/>
      <c r="H1" s="22"/>
      <c r="I1" s="22"/>
      <c r="J1" s="22"/>
    </row>
    <row r="2" spans="1:10" ht="31.95" customHeight="1" x14ac:dyDescent="0.3">
      <c r="A2" s="23" t="s">
        <v>276</v>
      </c>
      <c r="B2" s="24" t="s">
        <v>282</v>
      </c>
      <c r="C2" s="23" t="s">
        <v>283</v>
      </c>
      <c r="D2" s="22"/>
      <c r="E2" s="22"/>
      <c r="F2" s="22"/>
      <c r="G2" s="22"/>
      <c r="H2" s="22"/>
      <c r="I2" s="22"/>
      <c r="J2" s="22"/>
    </row>
    <row r="3" spans="1:10" ht="31.95" customHeight="1" x14ac:dyDescent="0.3">
      <c r="A3" s="23" t="s">
        <v>277</v>
      </c>
      <c r="B3" s="24" t="s">
        <v>284</v>
      </c>
      <c r="C3" s="23" t="s">
        <v>285</v>
      </c>
      <c r="D3" s="22"/>
      <c r="E3" s="22"/>
      <c r="F3" s="22"/>
      <c r="G3" s="22"/>
      <c r="H3" s="22"/>
      <c r="I3" s="22"/>
      <c r="J3" s="22"/>
    </row>
    <row r="4" spans="1:10" ht="31.95" customHeight="1" x14ac:dyDescent="0.3">
      <c r="A4" s="23" t="s">
        <v>278</v>
      </c>
      <c r="B4" s="24" t="s">
        <v>286</v>
      </c>
      <c r="C4" s="23" t="s">
        <v>287</v>
      </c>
      <c r="D4" s="22"/>
      <c r="E4" s="22"/>
      <c r="F4" s="22"/>
      <c r="G4" s="22"/>
      <c r="H4" s="22"/>
      <c r="I4" s="22"/>
      <c r="J4" s="22"/>
    </row>
    <row r="5" spans="1:10" ht="31.95" customHeight="1" x14ac:dyDescent="0.3">
      <c r="A5" s="23" t="s">
        <v>279</v>
      </c>
      <c r="B5" s="24" t="s">
        <v>288</v>
      </c>
      <c r="C5" s="23" t="s">
        <v>289</v>
      </c>
      <c r="D5" s="22"/>
      <c r="E5" s="22"/>
      <c r="F5" s="22"/>
      <c r="G5" s="22"/>
      <c r="H5" s="22"/>
      <c r="I5" s="22"/>
      <c r="J5" s="22"/>
    </row>
    <row r="6" spans="1:10" ht="31.95" customHeight="1" x14ac:dyDescent="0.3">
      <c r="A6" s="23" t="s">
        <v>280</v>
      </c>
      <c r="B6" s="24" t="s">
        <v>290</v>
      </c>
      <c r="C6" s="23" t="s">
        <v>291</v>
      </c>
      <c r="D6" s="22"/>
      <c r="E6" s="22"/>
      <c r="F6" s="22"/>
      <c r="G6" s="22"/>
      <c r="H6" s="22"/>
      <c r="I6" s="22"/>
      <c r="J6" s="22"/>
    </row>
    <row r="7" spans="1:10" x14ac:dyDescent="0.3">
      <c r="A7" s="22"/>
      <c r="B7" s="22"/>
      <c r="C7" s="22"/>
      <c r="D7" s="22"/>
      <c r="E7" s="22"/>
      <c r="F7" s="22"/>
      <c r="G7" s="22"/>
      <c r="H7" s="22"/>
      <c r="I7" s="22"/>
      <c r="J7" s="22"/>
    </row>
    <row r="8" spans="1:10" ht="31.95" customHeight="1" x14ac:dyDescent="0.4">
      <c r="A8" s="208" t="s">
        <v>292</v>
      </c>
      <c r="B8" s="208"/>
      <c r="C8" s="208"/>
      <c r="D8" s="208"/>
      <c r="E8" s="208"/>
      <c r="F8" s="208"/>
      <c r="G8" s="208"/>
      <c r="H8" s="208"/>
      <c r="I8" s="208"/>
      <c r="J8" s="22"/>
    </row>
    <row r="9" spans="1:10" x14ac:dyDescent="0.3">
      <c r="A9" s="25"/>
      <c r="B9" s="25"/>
      <c r="C9" s="25"/>
      <c r="D9" s="25"/>
      <c r="E9" s="25"/>
      <c r="F9" s="25"/>
      <c r="G9" s="25"/>
      <c r="H9" s="25"/>
      <c r="I9" s="25"/>
      <c r="J9" s="22"/>
    </row>
    <row r="10" spans="1:10" ht="15.6" x14ac:dyDescent="0.3">
      <c r="A10" s="209" t="s">
        <v>293</v>
      </c>
      <c r="B10" s="209"/>
      <c r="C10" s="209"/>
      <c r="D10" s="209"/>
      <c r="E10" s="26"/>
      <c r="F10" s="210" t="s">
        <v>294</v>
      </c>
      <c r="G10" s="210"/>
      <c r="H10" s="210"/>
      <c r="I10" s="210"/>
      <c r="J10" s="22"/>
    </row>
    <row r="11" spans="1:10" ht="15" thickBot="1" x14ac:dyDescent="0.35">
      <c r="A11" s="28" t="s">
        <v>295</v>
      </c>
      <c r="B11" s="29" t="s">
        <v>296</v>
      </c>
      <c r="C11" s="30" t="s">
        <v>297</v>
      </c>
      <c r="D11" s="27" t="s">
        <v>298</v>
      </c>
      <c r="E11" s="25"/>
      <c r="F11" s="40" t="s">
        <v>295</v>
      </c>
      <c r="G11" s="41" t="s">
        <v>296</v>
      </c>
      <c r="H11" s="42" t="s">
        <v>297</v>
      </c>
      <c r="I11" s="27" t="s">
        <v>298</v>
      </c>
      <c r="J11" s="22"/>
    </row>
    <row r="12" spans="1:10" ht="22.05" customHeight="1" x14ac:dyDescent="0.3">
      <c r="A12" s="31" t="s">
        <v>299</v>
      </c>
      <c r="B12" s="32" t="s">
        <v>300</v>
      </c>
      <c r="C12" s="33" t="s">
        <v>285</v>
      </c>
      <c r="D12" s="43"/>
      <c r="E12" s="25"/>
      <c r="F12" s="31" t="s">
        <v>299</v>
      </c>
      <c r="G12" s="32" t="s">
        <v>300</v>
      </c>
      <c r="H12" s="33" t="s">
        <v>291</v>
      </c>
      <c r="I12" s="64"/>
      <c r="J12" s="22"/>
    </row>
    <row r="13" spans="1:10" ht="22.05" customHeight="1" x14ac:dyDescent="0.3">
      <c r="A13" s="34" t="s">
        <v>301</v>
      </c>
      <c r="B13" s="35" t="s">
        <v>302</v>
      </c>
      <c r="C13" s="36" t="s">
        <v>303</v>
      </c>
      <c r="D13" s="44"/>
      <c r="E13" s="25"/>
      <c r="F13" s="34" t="s">
        <v>301</v>
      </c>
      <c r="G13" s="35" t="s">
        <v>302</v>
      </c>
      <c r="H13" s="36" t="s">
        <v>303</v>
      </c>
      <c r="I13" s="44"/>
      <c r="J13" s="22"/>
    </row>
    <row r="14" spans="1:10" ht="22.05" customHeight="1" x14ac:dyDescent="0.3">
      <c r="A14" s="31" t="s">
        <v>301</v>
      </c>
      <c r="B14" s="32" t="s">
        <v>304</v>
      </c>
      <c r="C14" s="33" t="s">
        <v>305</v>
      </c>
      <c r="D14" s="45"/>
      <c r="E14" s="25"/>
      <c r="F14" s="31" t="s">
        <v>301</v>
      </c>
      <c r="G14" s="32" t="s">
        <v>304</v>
      </c>
      <c r="H14" s="33" t="s">
        <v>350</v>
      </c>
      <c r="I14" s="65"/>
      <c r="J14" s="22"/>
    </row>
    <row r="15" spans="1:10" ht="22.05" customHeight="1" x14ac:dyDescent="0.3">
      <c r="A15" s="34" t="s">
        <v>301</v>
      </c>
      <c r="B15" s="35" t="s">
        <v>306</v>
      </c>
      <c r="C15" s="36" t="s">
        <v>307</v>
      </c>
      <c r="D15" s="46"/>
      <c r="E15" s="25"/>
      <c r="F15" s="34" t="s">
        <v>301</v>
      </c>
      <c r="G15" s="35" t="s">
        <v>306</v>
      </c>
      <c r="H15" s="36" t="s">
        <v>351</v>
      </c>
      <c r="I15" s="66"/>
      <c r="J15" s="22"/>
    </row>
    <row r="16" spans="1:10" ht="22.05" customHeight="1" x14ac:dyDescent="0.3">
      <c r="A16" s="31" t="s">
        <v>308</v>
      </c>
      <c r="B16" s="32" t="s">
        <v>309</v>
      </c>
      <c r="C16" s="33" t="s">
        <v>310</v>
      </c>
      <c r="D16" s="47"/>
      <c r="E16" s="25"/>
      <c r="F16" s="31" t="s">
        <v>308</v>
      </c>
      <c r="G16" s="32" t="s">
        <v>309</v>
      </c>
      <c r="H16" s="33" t="s">
        <v>352</v>
      </c>
      <c r="I16" s="67"/>
      <c r="J16" s="22"/>
    </row>
    <row r="17" spans="1:10" ht="22.05" customHeight="1" x14ac:dyDescent="0.3">
      <c r="A17" s="34" t="s">
        <v>308</v>
      </c>
      <c r="B17" s="35" t="s">
        <v>311</v>
      </c>
      <c r="C17" s="36" t="s">
        <v>312</v>
      </c>
      <c r="D17" s="48"/>
      <c r="E17" s="25"/>
      <c r="F17" s="34" t="s">
        <v>308</v>
      </c>
      <c r="G17" s="35" t="s">
        <v>311</v>
      </c>
      <c r="H17" s="36" t="s">
        <v>353</v>
      </c>
      <c r="I17" s="68"/>
      <c r="J17" s="22"/>
    </row>
    <row r="18" spans="1:10" ht="22.05" customHeight="1" x14ac:dyDescent="0.3">
      <c r="A18" s="31" t="s">
        <v>308</v>
      </c>
      <c r="B18" s="32" t="s">
        <v>313</v>
      </c>
      <c r="C18" s="86" t="s">
        <v>314</v>
      </c>
      <c r="D18" s="49"/>
      <c r="E18" s="25"/>
      <c r="F18" s="31" t="s">
        <v>308</v>
      </c>
      <c r="G18" s="32" t="s">
        <v>313</v>
      </c>
      <c r="H18" s="33" t="s">
        <v>354</v>
      </c>
      <c r="I18" s="69"/>
      <c r="J18" s="22"/>
    </row>
    <row r="19" spans="1:10" ht="22.05" customHeight="1" x14ac:dyDescent="0.3">
      <c r="A19" s="34" t="s">
        <v>315</v>
      </c>
      <c r="B19" s="35" t="s">
        <v>316</v>
      </c>
      <c r="C19" s="36" t="s">
        <v>197</v>
      </c>
      <c r="D19" s="50"/>
      <c r="E19" s="25"/>
      <c r="F19" s="34" t="s">
        <v>315</v>
      </c>
      <c r="G19" s="35" t="s">
        <v>316</v>
      </c>
      <c r="H19" s="36" t="s">
        <v>352</v>
      </c>
      <c r="I19" s="67"/>
      <c r="J19" s="22"/>
    </row>
    <row r="20" spans="1:10" ht="22.05" customHeight="1" x14ac:dyDescent="0.3">
      <c r="A20" s="31" t="s">
        <v>315</v>
      </c>
      <c r="B20" s="32" t="s">
        <v>317</v>
      </c>
      <c r="C20" s="33" t="s">
        <v>318</v>
      </c>
      <c r="D20" s="51"/>
      <c r="E20" s="25"/>
      <c r="F20" s="31" t="s">
        <v>315</v>
      </c>
      <c r="G20" s="32" t="s">
        <v>317</v>
      </c>
      <c r="H20" s="33" t="s">
        <v>354</v>
      </c>
      <c r="I20" s="69"/>
      <c r="J20" s="22"/>
    </row>
    <row r="21" spans="1:10" ht="22.05" customHeight="1" x14ac:dyDescent="0.3">
      <c r="A21" s="34" t="s">
        <v>315</v>
      </c>
      <c r="B21" s="35" t="s">
        <v>319</v>
      </c>
      <c r="C21" s="36" t="s">
        <v>320</v>
      </c>
      <c r="D21" s="52"/>
      <c r="E21" s="25"/>
      <c r="F21" s="34" t="s">
        <v>315</v>
      </c>
      <c r="G21" s="35" t="s">
        <v>319</v>
      </c>
      <c r="H21" s="36" t="s">
        <v>355</v>
      </c>
      <c r="I21" s="70"/>
      <c r="J21" s="22"/>
    </row>
    <row r="22" spans="1:10" ht="22.05" customHeight="1" x14ac:dyDescent="0.3">
      <c r="A22" s="31" t="s">
        <v>315</v>
      </c>
      <c r="B22" s="32" t="s">
        <v>321</v>
      </c>
      <c r="C22" s="33" t="s">
        <v>314</v>
      </c>
      <c r="D22" s="49"/>
      <c r="E22" s="25"/>
      <c r="F22" s="31" t="s">
        <v>315</v>
      </c>
      <c r="G22" s="32" t="s">
        <v>321</v>
      </c>
      <c r="H22" s="33" t="s">
        <v>356</v>
      </c>
      <c r="I22" s="71"/>
      <c r="J22" s="22"/>
    </row>
    <row r="23" spans="1:10" ht="22.05" customHeight="1" x14ac:dyDescent="0.3">
      <c r="A23" s="34" t="s">
        <v>315</v>
      </c>
      <c r="B23" s="35" t="s">
        <v>322</v>
      </c>
      <c r="C23" s="36" t="s">
        <v>323</v>
      </c>
      <c r="D23" s="53"/>
      <c r="E23" s="25"/>
      <c r="F23" s="34" t="s">
        <v>315</v>
      </c>
      <c r="G23" s="35" t="s">
        <v>322</v>
      </c>
      <c r="H23" s="36" t="s">
        <v>357</v>
      </c>
      <c r="I23" s="72"/>
      <c r="J23" s="22"/>
    </row>
    <row r="24" spans="1:10" ht="22.05" customHeight="1" x14ac:dyDescent="0.3">
      <c r="A24" s="31" t="s">
        <v>324</v>
      </c>
      <c r="B24" s="32" t="s">
        <v>309</v>
      </c>
      <c r="C24" s="33" t="s">
        <v>197</v>
      </c>
      <c r="D24" s="50"/>
      <c r="E24" s="25"/>
      <c r="F24" s="31" t="s">
        <v>324</v>
      </c>
      <c r="G24" s="32" t="s">
        <v>309</v>
      </c>
      <c r="H24" s="33" t="s">
        <v>352</v>
      </c>
      <c r="I24" s="67"/>
      <c r="J24" s="22"/>
    </row>
    <row r="25" spans="1:10" ht="22.05" customHeight="1" x14ac:dyDescent="0.3">
      <c r="A25" s="34" t="s">
        <v>324</v>
      </c>
      <c r="B25" s="35" t="s">
        <v>311</v>
      </c>
      <c r="C25" s="36" t="s">
        <v>325</v>
      </c>
      <c r="D25" s="54"/>
      <c r="E25" s="25"/>
      <c r="F25" s="34" t="s">
        <v>324</v>
      </c>
      <c r="G25" s="35" t="s">
        <v>311</v>
      </c>
      <c r="H25" s="36" t="s">
        <v>358</v>
      </c>
      <c r="I25" s="73"/>
      <c r="J25" s="22"/>
    </row>
    <row r="26" spans="1:10" ht="22.05" customHeight="1" x14ac:dyDescent="0.3">
      <c r="A26" s="31" t="s">
        <v>324</v>
      </c>
      <c r="B26" s="32" t="s">
        <v>326</v>
      </c>
      <c r="C26" s="33" t="s">
        <v>314</v>
      </c>
      <c r="D26" s="49"/>
      <c r="E26" s="25"/>
      <c r="F26" s="31" t="s">
        <v>324</v>
      </c>
      <c r="G26" s="32" t="s">
        <v>326</v>
      </c>
      <c r="H26" s="33" t="s">
        <v>354</v>
      </c>
      <c r="I26" s="69"/>
      <c r="J26" s="22"/>
    </row>
    <row r="27" spans="1:10" ht="22.05" customHeight="1" x14ac:dyDescent="0.3">
      <c r="A27" s="34" t="s">
        <v>217</v>
      </c>
      <c r="B27" s="35" t="s">
        <v>327</v>
      </c>
      <c r="C27" s="36" t="s">
        <v>328</v>
      </c>
      <c r="D27" s="55"/>
      <c r="E27" s="25"/>
      <c r="F27" s="34" t="s">
        <v>217</v>
      </c>
      <c r="G27" s="35" t="s">
        <v>327</v>
      </c>
      <c r="H27" s="88" t="s">
        <v>359</v>
      </c>
      <c r="I27" s="74"/>
      <c r="J27" s="22"/>
    </row>
    <row r="28" spans="1:10" ht="22.05" customHeight="1" x14ac:dyDescent="0.3">
      <c r="A28" s="31" t="s">
        <v>217</v>
      </c>
      <c r="B28" s="32" t="s">
        <v>329</v>
      </c>
      <c r="C28" s="33" t="s">
        <v>305</v>
      </c>
      <c r="D28" s="45"/>
      <c r="E28" s="25"/>
      <c r="F28" s="31" t="s">
        <v>217</v>
      </c>
      <c r="G28" s="32" t="s">
        <v>329</v>
      </c>
      <c r="H28" s="33" t="s">
        <v>360</v>
      </c>
      <c r="I28" s="75"/>
      <c r="J28" s="22"/>
    </row>
    <row r="29" spans="1:10" ht="22.05" customHeight="1" x14ac:dyDescent="0.3">
      <c r="A29" s="34" t="s">
        <v>330</v>
      </c>
      <c r="B29" s="35" t="s">
        <v>331</v>
      </c>
      <c r="C29" s="36" t="s">
        <v>332</v>
      </c>
      <c r="D29" s="56"/>
      <c r="E29" s="25"/>
      <c r="F29" s="34" t="s">
        <v>330</v>
      </c>
      <c r="G29" s="35" t="s">
        <v>331</v>
      </c>
      <c r="H29" s="88" t="s">
        <v>361</v>
      </c>
      <c r="I29" s="76"/>
      <c r="J29" s="22"/>
    </row>
    <row r="30" spans="1:10" ht="22.05" customHeight="1" x14ac:dyDescent="0.3">
      <c r="A30" s="31" t="s">
        <v>330</v>
      </c>
      <c r="B30" s="32" t="s">
        <v>333</v>
      </c>
      <c r="C30" s="33" t="s">
        <v>334</v>
      </c>
      <c r="D30" s="57"/>
      <c r="E30" s="25"/>
      <c r="F30" s="31" t="s">
        <v>330</v>
      </c>
      <c r="G30" s="32" t="s">
        <v>333</v>
      </c>
      <c r="H30" s="33" t="s">
        <v>362</v>
      </c>
      <c r="I30" s="77"/>
      <c r="J30" s="22"/>
    </row>
    <row r="31" spans="1:10" ht="22.05" customHeight="1" x14ac:dyDescent="0.3">
      <c r="A31" s="34" t="s">
        <v>335</v>
      </c>
      <c r="B31" s="35" t="s">
        <v>336</v>
      </c>
      <c r="C31" s="36" t="s">
        <v>337</v>
      </c>
      <c r="D31" s="58"/>
      <c r="E31" s="25"/>
      <c r="F31" s="34" t="s">
        <v>335</v>
      </c>
      <c r="G31" s="35" t="s">
        <v>336</v>
      </c>
      <c r="H31" s="88" t="s">
        <v>363</v>
      </c>
      <c r="I31" s="78"/>
      <c r="J31" s="22"/>
    </row>
    <row r="32" spans="1:10" ht="22.05" customHeight="1" x14ac:dyDescent="0.3">
      <c r="A32" s="31" t="s">
        <v>335</v>
      </c>
      <c r="B32" s="32" t="s">
        <v>338</v>
      </c>
      <c r="C32" s="33" t="s">
        <v>303</v>
      </c>
      <c r="D32" s="44"/>
      <c r="E32" s="25"/>
      <c r="F32" s="31" t="s">
        <v>335</v>
      </c>
      <c r="G32" s="32" t="s">
        <v>338</v>
      </c>
      <c r="H32" s="33" t="s">
        <v>303</v>
      </c>
      <c r="I32" s="44"/>
      <c r="J32" s="22"/>
    </row>
    <row r="33" spans="1:10" ht="22.05" customHeight="1" x14ac:dyDescent="0.3">
      <c r="A33" s="34" t="s">
        <v>339</v>
      </c>
      <c r="B33" s="35" t="s">
        <v>340</v>
      </c>
      <c r="C33" s="36" t="s">
        <v>341</v>
      </c>
      <c r="D33" s="59"/>
      <c r="E33" s="25"/>
      <c r="F33" s="34" t="s">
        <v>339</v>
      </c>
      <c r="G33" s="35" t="s">
        <v>340</v>
      </c>
      <c r="H33" s="88" t="s">
        <v>364</v>
      </c>
      <c r="I33" s="79"/>
      <c r="J33" s="22"/>
    </row>
    <row r="34" spans="1:10" ht="22.05" customHeight="1" x14ac:dyDescent="0.3">
      <c r="A34" s="31" t="s">
        <v>339</v>
      </c>
      <c r="B34" s="32" t="s">
        <v>342</v>
      </c>
      <c r="C34" s="33" t="s">
        <v>343</v>
      </c>
      <c r="D34" s="60"/>
      <c r="E34" s="25"/>
      <c r="F34" s="31" t="s">
        <v>339</v>
      </c>
      <c r="G34" s="32" t="s">
        <v>342</v>
      </c>
      <c r="H34" s="33" t="s">
        <v>365</v>
      </c>
      <c r="I34" s="80"/>
      <c r="J34" s="22"/>
    </row>
    <row r="35" spans="1:10" ht="22.05" customHeight="1" x14ac:dyDescent="0.3">
      <c r="A35" s="34" t="s">
        <v>339</v>
      </c>
      <c r="B35" s="35" t="s">
        <v>344</v>
      </c>
      <c r="C35" s="36" t="s">
        <v>345</v>
      </c>
      <c r="D35" s="61"/>
      <c r="E35" s="25"/>
      <c r="F35" s="34" t="s">
        <v>339</v>
      </c>
      <c r="G35" s="35" t="s">
        <v>344</v>
      </c>
      <c r="H35" s="36" t="s">
        <v>366</v>
      </c>
      <c r="I35" s="81"/>
      <c r="J35" s="22"/>
    </row>
    <row r="36" spans="1:10" ht="22.05" customHeight="1" x14ac:dyDescent="0.3">
      <c r="A36" s="31" t="s">
        <v>339</v>
      </c>
      <c r="B36" s="32" t="s">
        <v>346</v>
      </c>
      <c r="C36" s="33" t="s">
        <v>347</v>
      </c>
      <c r="D36" s="62"/>
      <c r="E36" s="25"/>
      <c r="F36" s="31" t="s">
        <v>339</v>
      </c>
      <c r="G36" s="32" t="s">
        <v>346</v>
      </c>
      <c r="H36" s="33" t="s">
        <v>367</v>
      </c>
      <c r="I36" s="82"/>
      <c r="J36" s="22"/>
    </row>
    <row r="37" spans="1:10" ht="22.05" customHeight="1" x14ac:dyDescent="0.3">
      <c r="A37" s="37" t="s">
        <v>339</v>
      </c>
      <c r="B37" s="38" t="s">
        <v>348</v>
      </c>
      <c r="C37" s="39" t="s">
        <v>349</v>
      </c>
      <c r="D37" s="63"/>
      <c r="E37" s="25"/>
      <c r="F37" s="37" t="s">
        <v>339</v>
      </c>
      <c r="G37" s="38" t="s">
        <v>348</v>
      </c>
      <c r="H37" s="39" t="s">
        <v>368</v>
      </c>
      <c r="I37" s="83"/>
      <c r="J37" s="22"/>
    </row>
    <row r="38" spans="1:10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</row>
  </sheetData>
  <mergeCells count="4">
    <mergeCell ref="A1:C1"/>
    <mergeCell ref="A8:I8"/>
    <mergeCell ref="A10:D10"/>
    <mergeCell ref="F10:I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68A67-DDAD-468B-9391-C04F931A10D7}">
  <sheetPr codeName="Hoja6"/>
  <dimension ref="A1:AF89"/>
  <sheetViews>
    <sheetView workbookViewId="0">
      <selection activeCell="G13" sqref="G13"/>
    </sheetView>
  </sheetViews>
  <sheetFormatPr baseColWidth="10" defaultColWidth="10.77734375" defaultRowHeight="14.4" x14ac:dyDescent="0.3"/>
  <cols>
    <col min="2" max="2" width="14" bestFit="1" customWidth="1"/>
    <col min="6" max="6" width="14.88671875" bestFit="1" customWidth="1"/>
    <col min="7" max="7" width="13" bestFit="1" customWidth="1"/>
    <col min="9" max="9" width="11.6640625" bestFit="1" customWidth="1"/>
    <col min="10" max="10" width="13" bestFit="1" customWidth="1"/>
    <col min="17" max="17" width="16.5546875" bestFit="1" customWidth="1"/>
    <col min="18" max="18" width="20.21875" bestFit="1" customWidth="1"/>
    <col min="19" max="19" width="11.33203125" bestFit="1" customWidth="1"/>
    <col min="20" max="20" width="11.44140625" bestFit="1" customWidth="1"/>
    <col min="21" max="21" width="12.109375" bestFit="1" customWidth="1"/>
    <col min="22" max="22" width="13.88671875" bestFit="1" customWidth="1"/>
    <col min="24" max="24" width="19.21875" bestFit="1" customWidth="1"/>
    <col min="25" max="25" width="10.33203125" bestFit="1" customWidth="1"/>
    <col min="26" max="26" width="11.44140625" bestFit="1" customWidth="1"/>
    <col min="27" max="27" width="11.109375" bestFit="1" customWidth="1"/>
    <col min="28" max="28" width="12.109375" bestFit="1" customWidth="1"/>
    <col min="30" max="30" width="16.5546875" bestFit="1" customWidth="1"/>
    <col min="31" max="31" width="10" bestFit="1" customWidth="1"/>
    <col min="32" max="32" width="11.33203125" bestFit="1" customWidth="1"/>
  </cols>
  <sheetData>
    <row r="1" spans="1:32" x14ac:dyDescent="0.3">
      <c r="A1" s="211" t="s">
        <v>181</v>
      </c>
      <c r="B1" s="211"/>
      <c r="C1" s="211"/>
      <c r="D1" s="211"/>
    </row>
    <row r="2" spans="1:32" x14ac:dyDescent="0.3">
      <c r="A2" s="211"/>
      <c r="B2" s="211"/>
      <c r="C2" s="211"/>
      <c r="D2" s="211"/>
    </row>
    <row r="4" spans="1:32" x14ac:dyDescent="0.3">
      <c r="X4" t="s">
        <v>396</v>
      </c>
      <c r="AD4" s="93" t="s">
        <v>402</v>
      </c>
      <c r="AE4" t="s">
        <v>404</v>
      </c>
      <c r="AF4" t="s">
        <v>405</v>
      </c>
    </row>
    <row r="5" spans="1:32" x14ac:dyDescent="0.3">
      <c r="A5" t="str" cm="1">
        <f t="array" ref="A5:B6">_xlfn.LET(_xlpm.Elementos, {"Ingresos";"Utilidades"}, _xlpm.Total_Ingresos, SUMPRODUCT(BD_Presupuesto[Valor] * (BD_Presupuesto[Concepto] = "Ingresos") * (BD_Presupuesto[Año] = Proyectar!F3)), _xlpm.Total_Salidas, SUMPRODUCT(BD_Presupuesto[Valor] * (BD_Presupuesto[Concepto] &lt;&gt; "Ingresos") * (BD_Presupuesto[Año] = Proyectar!F3)), _xlpm.Total_Utilidades, _xlpm.Total_Ingresos - _xlpm.Total_Salidas, _xlpm.valores, IF(_xlpm.Elementos = "Ingresos", _xlpm.Total_Ingresos, _xlpm.Total_Utilidades), _xlfn.HSTACK(_xlpm.Elementos, _xlpm.valores))</f>
        <v>Ingresos</v>
      </c>
      <c r="B5" s="17">
        <v>46000000</v>
      </c>
      <c r="D5" cm="1">
        <f t="array" ref="D5:D6">_xlfn.LET(_xlpm.Elementos, {"Ingresos";"Utilidades"}, _xlpm.Total_Ingresos, SUMPRODUCT(BD_Presupuesto[Valor] * (BD_Presupuesto[Concepto] = "Ingresos") * (BD_Presupuesto[Año] = Proyectar!F3)), _xlpm.Total_Salidas, SUMPRODUCT(BD_Presupuesto[Valor] * (BD_Presupuesto[Concepto] &lt;&gt; "Ingresos") * (BD_Presupuesto[Año] = Proyectar!F3)), _xlpm.Total_Utilidades, _xlpm.Total_Ingresos - _xlpm.Total_Salidas, _xlfn.VSTACK(_xlpm.Total_Ingresos, _xlpm.Total_Utilidades))</f>
        <v>46000000</v>
      </c>
      <c r="F5" t="str" cm="1">
        <f t="array" ref="F5:G9">_xlfn.GROUPBY(BD_Presupuesto[Detalle], BD_Presupuesto[Valor], _xleta.SUM, 0, 0, 2, BD_Presupuesto[Concepto] &lt;&gt; "Ingresos")</f>
        <v>Otros</v>
      </c>
      <c r="G5" s="17">
        <v>60000</v>
      </c>
      <c r="I5" t="str" cm="1">
        <f t="array" aca="1" ref="I5:J6" ca="1">_xlfn.LET(_xlpm.Elementos, {"Ingresos";"Utilidades"}, _xlpm.Total_Ingresos, SUMPRODUCT(BD_Real[Valor] * (BD_Real[Concepto] = "Ingresos") * (YEAR(BD_Real[Fecha]) = YEAR(TODAY()))), _xlpm.Total_Salidas, SUMPRODUCT(BD_Real[Valor] * (BD_Real[Concepto] &lt;&gt; "Ingresos") * (YEAR(BD_Real[Fecha]) = YEAR(TODAY()))), _xlpm.Total_Utilidades, _xlpm.Total_Ingresos - _xlpm.Total_Salidas, _xlpm.valores, IF(_xlpm.Elementos = "Ingresos", _xlpm.Total_Ingresos, _xlpm.Total_Utilidades), _xlfn.HSTACK(_xlpm.Elementos, _xlpm.valores))</f>
        <v>Ingresos</v>
      </c>
      <c r="J5" s="17">
        <f ca="1"/>
        <v>9620000</v>
      </c>
      <c r="L5" t="str" cm="1">
        <f t="array" aca="1" ref="L5:N36" ca="1">_xlfn.LET(_xlpm.L_Dias, _xlfn.SEQUENCE(31, , 1), _xlpm.V_Mes, MONTH(TODAY()), _xlpm.V_Año, YEAR(TODAY()), _xlpm.Mes_previo, IF(_xlpm.V_Mes = 1, 12, _xlpm.V_Mes - 1), _xlpm.Año_previo, IF(_xlpm.V_Mes = 1, _xlpm.V_Año - 1, _xlpm.V_Año), _xlpm.mes_actual, DATE(_xlpm.V_Año, _xlpm.V_Mes, _xlpm.L_Dias), _xlpm.Mes_Anterior, DATE(_xlpm.Año_previo, _xlpm.Mes_previo, _xlpm.L_Dias), _xlpm.Valores_Actual, SUMIFS(BD_Real[Valor], BD_Real[Fecha], _xlpm.mes_actual, BD_Real[Concepto], "&lt;&gt;" &amp; "Ingresos"), _xlpm.Valores_Anteriores, SUMIFS(BD_Real[Valor], BD_Real[Fecha], _xlpm.Mes_Anterior, BD_Real[Concepto], "&lt;&gt;" &amp; "Ingresos"), _xlpm.Encabezado, {"Dia","M Actual","M Anterior"}, _xlfn.VSTACK(_xlpm.Encabezado, _xlfn.HSTACK(_xlpm.L_Dias, _xlpm.Valores_Actual, _xlpm.Valores_Anteriores)))</f>
        <v>Dia</v>
      </c>
      <c r="M5" t="str">
        <f ca="1"/>
        <v>M Actual</v>
      </c>
      <c r="N5" t="str">
        <f ca="1"/>
        <v>M Anterior</v>
      </c>
      <c r="X5" t="s">
        <v>398</v>
      </c>
      <c r="Y5" t="s">
        <v>399</v>
      </c>
      <c r="Z5" t="s">
        <v>400</v>
      </c>
      <c r="AA5" t="s">
        <v>401</v>
      </c>
      <c r="AD5" s="3">
        <v>6</v>
      </c>
      <c r="AE5" s="84">
        <v>150000</v>
      </c>
      <c r="AF5" s="84"/>
    </row>
    <row r="6" spans="1:32" x14ac:dyDescent="0.3">
      <c r="A6" t="str">
        <v>Utilidades</v>
      </c>
      <c r="B6" s="17">
        <v>17258000</v>
      </c>
      <c r="D6">
        <v>17258000</v>
      </c>
      <c r="F6" t="str">
        <v>Entretenimiento</v>
      </c>
      <c r="G6" s="17">
        <v>180000</v>
      </c>
      <c r="I6" s="17" t="str">
        <f ca="1"/>
        <v>Utilidades</v>
      </c>
      <c r="J6" s="17">
        <f ca="1"/>
        <v>8956770</v>
      </c>
      <c r="L6">
        <f ca="1"/>
        <v>1</v>
      </c>
      <c r="M6">
        <f ca="1"/>
        <v>0</v>
      </c>
      <c r="N6">
        <f ca="1"/>
        <v>0</v>
      </c>
      <c r="X6" s="84">
        <v>28742000</v>
      </c>
      <c r="Y6" s="84">
        <v>663230</v>
      </c>
      <c r="Z6" s="84">
        <v>28078770</v>
      </c>
      <c r="AA6" s="87">
        <v>2.3075290515621738E-2</v>
      </c>
      <c r="AD6" s="3">
        <v>8</v>
      </c>
      <c r="AE6" s="84">
        <v>45000</v>
      </c>
      <c r="AF6" s="84"/>
    </row>
    <row r="7" spans="1:32" x14ac:dyDescent="0.3">
      <c r="F7" t="str">
        <v>Gasto personales</v>
      </c>
      <c r="G7">
        <v>4752000</v>
      </c>
      <c r="I7" s="17"/>
      <c r="J7" s="17"/>
      <c r="L7">
        <f ca="1"/>
        <v>2</v>
      </c>
      <c r="M7">
        <f ca="1"/>
        <v>0</v>
      </c>
      <c r="N7">
        <f ca="1"/>
        <v>0</v>
      </c>
      <c r="AD7" s="3">
        <v>10</v>
      </c>
      <c r="AE7" s="84">
        <v>32000</v>
      </c>
      <c r="AF7" s="84"/>
    </row>
    <row r="8" spans="1:32" x14ac:dyDescent="0.3">
      <c r="F8" t="str">
        <v>Deuda</v>
      </c>
      <c r="G8">
        <v>9850000</v>
      </c>
      <c r="I8" s="17"/>
      <c r="J8" s="17"/>
      <c r="L8">
        <f ca="1"/>
        <v>3</v>
      </c>
      <c r="M8">
        <f ca="1"/>
        <v>0</v>
      </c>
      <c r="N8">
        <f ca="1"/>
        <v>0</v>
      </c>
      <c r="X8" t="str">
        <f>"Presupuesto Año Actual"&amp;CHAR(10)&amp;TEXT(X6,"$ #.##0")</f>
        <v>Presupuesto Año Actual
$ 28.742.000</v>
      </c>
      <c r="Y8" t="str">
        <f>"Desembolsos realizados"&amp;CHAR(10)&amp;TEXT(Y6,"$ #.##0")</f>
        <v>Desembolsos realizados
$ 663.230</v>
      </c>
      <c r="Z8" t="str">
        <f>"Pendiente por ejecutar" &amp; CHAR(10) &amp; TEXT(Z6, "$ #.##0") &amp; CHAR(10) &amp; " Porcentaje: " &amp; TEXT(AA6, "#,##%")</f>
        <v>Pendiente por ejecutar
$ 28.078.770
 Porcentaje: 2,31%</v>
      </c>
      <c r="AD8" s="3">
        <v>11</v>
      </c>
      <c r="AE8" s="84">
        <v>155000</v>
      </c>
      <c r="AF8" s="84"/>
    </row>
    <row r="9" spans="1:32" x14ac:dyDescent="0.3">
      <c r="F9" t="str">
        <v>Hogar</v>
      </c>
      <c r="G9">
        <v>13900000</v>
      </c>
      <c r="L9">
        <f ca="1"/>
        <v>4</v>
      </c>
      <c r="M9">
        <f ca="1"/>
        <v>0</v>
      </c>
      <c r="N9">
        <f ca="1"/>
        <v>0</v>
      </c>
      <c r="AD9" s="3">
        <v>18</v>
      </c>
      <c r="AE9" s="84">
        <v>5000</v>
      </c>
      <c r="AF9" s="84"/>
    </row>
    <row r="10" spans="1:32" x14ac:dyDescent="0.3">
      <c r="L10">
        <f ca="1"/>
        <v>5</v>
      </c>
      <c r="M10">
        <f ca="1"/>
        <v>0</v>
      </c>
      <c r="N10">
        <f ca="1"/>
        <v>0</v>
      </c>
      <c r="AD10" s="3">
        <v>19</v>
      </c>
      <c r="AE10" s="84"/>
      <c r="AF10" s="84">
        <v>9000</v>
      </c>
    </row>
    <row r="11" spans="1:32" x14ac:dyDescent="0.3">
      <c r="L11">
        <f ca="1"/>
        <v>6</v>
      </c>
      <c r="M11">
        <f ca="1"/>
        <v>150000</v>
      </c>
      <c r="N11">
        <f ca="1"/>
        <v>0</v>
      </c>
      <c r="AD11" s="3">
        <v>23</v>
      </c>
      <c r="AE11" s="84">
        <v>27230</v>
      </c>
      <c r="AF11" s="84"/>
    </row>
    <row r="12" spans="1:32" x14ac:dyDescent="0.3">
      <c r="L12">
        <f ca="1"/>
        <v>7</v>
      </c>
      <c r="M12">
        <f ca="1"/>
        <v>0</v>
      </c>
      <c r="N12">
        <f ca="1"/>
        <v>0</v>
      </c>
      <c r="AD12" s="3">
        <v>25</v>
      </c>
      <c r="AE12" s="84">
        <v>146000</v>
      </c>
      <c r="AF12" s="84"/>
    </row>
    <row r="13" spans="1:32" x14ac:dyDescent="0.3">
      <c r="L13">
        <f ca="1"/>
        <v>8</v>
      </c>
      <c r="M13">
        <f ca="1"/>
        <v>45000</v>
      </c>
      <c r="N13">
        <f ca="1"/>
        <v>0</v>
      </c>
      <c r="AD13" s="3">
        <v>26</v>
      </c>
      <c r="AE13" s="84"/>
      <c r="AF13" s="84">
        <v>85000</v>
      </c>
    </row>
    <row r="14" spans="1:32" x14ac:dyDescent="0.3">
      <c r="L14">
        <f ca="1"/>
        <v>9</v>
      </c>
      <c r="M14">
        <f ca="1"/>
        <v>0</v>
      </c>
      <c r="N14">
        <f ca="1"/>
        <v>0</v>
      </c>
      <c r="X14" t="s">
        <v>397</v>
      </c>
      <c r="AD14" s="3" t="s">
        <v>403</v>
      </c>
      <c r="AE14" s="84">
        <v>560230</v>
      </c>
      <c r="AF14" s="84">
        <v>94000</v>
      </c>
    </row>
    <row r="15" spans="1:32" x14ac:dyDescent="0.3">
      <c r="L15">
        <f ca="1"/>
        <v>10</v>
      </c>
      <c r="M15">
        <f ca="1"/>
        <v>32000</v>
      </c>
      <c r="N15">
        <f ca="1"/>
        <v>0</v>
      </c>
      <c r="X15" t="s">
        <v>373</v>
      </c>
      <c r="Y15" t="s">
        <v>374</v>
      </c>
      <c r="Z15" t="s">
        <v>375</v>
      </c>
      <c r="AA15" t="s">
        <v>376</v>
      </c>
    </row>
    <row r="16" spans="1:32" x14ac:dyDescent="0.3">
      <c r="L16">
        <f ca="1"/>
        <v>11</v>
      </c>
      <c r="M16">
        <f ca="1"/>
        <v>155000</v>
      </c>
      <c r="N16">
        <f ca="1"/>
        <v>0</v>
      </c>
      <c r="X16" s="84">
        <v>11809000</v>
      </c>
      <c r="Y16" s="84">
        <v>663230</v>
      </c>
      <c r="Z16" s="84">
        <v>11145770</v>
      </c>
      <c r="AA16" s="87">
        <v>5.6163095943771703E-2</v>
      </c>
    </row>
    <row r="17" spans="1:26" x14ac:dyDescent="0.3">
      <c r="L17">
        <f ca="1"/>
        <v>12</v>
      </c>
      <c r="M17">
        <f ca="1"/>
        <v>0</v>
      </c>
      <c r="N17">
        <f ca="1"/>
        <v>0</v>
      </c>
    </row>
    <row r="18" spans="1:26" x14ac:dyDescent="0.3">
      <c r="L18">
        <f ca="1"/>
        <v>13</v>
      </c>
      <c r="M18">
        <f ca="1"/>
        <v>0</v>
      </c>
      <c r="N18">
        <f ca="1"/>
        <v>0</v>
      </c>
      <c r="X18" t="str">
        <f>"Presupuesto a la fecha"&amp;CHAR(10)&amp;TEXT(X16,"$ #.##0")</f>
        <v>Presupuesto a la fecha
$ 11.809.000</v>
      </c>
      <c r="Y18" t="str">
        <f>"Desembolsos a la fecha"&amp;CHAR(10)&amp;TEXT(Y16,"$ #.##0")</f>
        <v>Desembolsos a la fecha
$ 663.230</v>
      </c>
      <c r="Z18" t="str">
        <f>"Pendiente por ejecutar a la fecha" &amp; CHAR(10) &amp; TEXT(Z16, "$ #.##0") &amp; CHAR(10) &amp; " Porcentaje: " &amp; TEXT(AA16, "#,##%")</f>
        <v>Pendiente por ejecutar a la fecha
$ 11.145.770
 Porcentaje: 5,62%</v>
      </c>
    </row>
    <row r="19" spans="1:26" x14ac:dyDescent="0.3">
      <c r="L19">
        <f ca="1"/>
        <v>14</v>
      </c>
      <c r="M19">
        <f ca="1"/>
        <v>0</v>
      </c>
      <c r="N19">
        <f ca="1"/>
        <v>0</v>
      </c>
    </row>
    <row r="20" spans="1:26" x14ac:dyDescent="0.3">
      <c r="A20" t="s">
        <v>233</v>
      </c>
      <c r="L20">
        <f ca="1"/>
        <v>15</v>
      </c>
      <c r="M20">
        <f ca="1"/>
        <v>0</v>
      </c>
      <c r="N20">
        <f ca="1"/>
        <v>0</v>
      </c>
    </row>
    <row r="21" spans="1:26" x14ac:dyDescent="0.3">
      <c r="L21">
        <f ca="1"/>
        <v>16</v>
      </c>
      <c r="M21">
        <f ca="1"/>
        <v>0</v>
      </c>
      <c r="N21">
        <f ca="1"/>
        <v>0</v>
      </c>
    </row>
    <row r="22" spans="1:26" x14ac:dyDescent="0.3">
      <c r="A22" t="s">
        <v>189</v>
      </c>
      <c r="L22">
        <f ca="1"/>
        <v>17</v>
      </c>
      <c r="M22">
        <f ca="1"/>
        <v>0</v>
      </c>
      <c r="N22">
        <f ca="1"/>
        <v>0</v>
      </c>
      <c r="Z22" s="92"/>
    </row>
    <row r="23" spans="1:26" x14ac:dyDescent="0.3">
      <c r="A23" t="s">
        <v>190</v>
      </c>
      <c r="L23">
        <f ca="1"/>
        <v>18</v>
      </c>
      <c r="M23">
        <f ca="1"/>
        <v>5000</v>
      </c>
      <c r="N23">
        <f ca="1"/>
        <v>0</v>
      </c>
    </row>
    <row r="24" spans="1:26" x14ac:dyDescent="0.3">
      <c r="A24" t="s">
        <v>191</v>
      </c>
      <c r="B24" t="s">
        <v>192</v>
      </c>
      <c r="C24" t="s">
        <v>193</v>
      </c>
      <c r="D24" t="s">
        <v>194</v>
      </c>
      <c r="E24" t="s">
        <v>195</v>
      </c>
      <c r="L24">
        <f ca="1"/>
        <v>19</v>
      </c>
      <c r="M24">
        <f ca="1"/>
        <v>0</v>
      </c>
      <c r="N24">
        <f ca="1"/>
        <v>9000</v>
      </c>
    </row>
    <row r="25" spans="1:26" x14ac:dyDescent="0.3">
      <c r="A25" t="s">
        <v>272</v>
      </c>
      <c r="B25" t="s">
        <v>196</v>
      </c>
      <c r="C25" t="s">
        <v>197</v>
      </c>
      <c r="D25" t="s">
        <v>198</v>
      </c>
      <c r="E25" t="s">
        <v>199</v>
      </c>
      <c r="L25">
        <f ca="1"/>
        <v>20</v>
      </c>
      <c r="M25">
        <f ca="1"/>
        <v>0</v>
      </c>
      <c r="N25">
        <f ca="1"/>
        <v>0</v>
      </c>
    </row>
    <row r="26" spans="1:26" x14ac:dyDescent="0.3">
      <c r="A26" t="s">
        <v>200</v>
      </c>
      <c r="B26" t="s">
        <v>201</v>
      </c>
      <c r="C26" t="s">
        <v>202</v>
      </c>
      <c r="D26" t="s">
        <v>203</v>
      </c>
      <c r="E26" t="s">
        <v>204</v>
      </c>
      <c r="L26">
        <f ca="1"/>
        <v>21</v>
      </c>
      <c r="M26">
        <f ca="1"/>
        <v>0</v>
      </c>
      <c r="N26">
        <f ca="1"/>
        <v>0</v>
      </c>
    </row>
    <row r="27" spans="1:26" x14ac:dyDescent="0.3">
      <c r="A27" t="s">
        <v>205</v>
      </c>
      <c r="B27" t="s">
        <v>206</v>
      </c>
      <c r="C27" t="s">
        <v>207</v>
      </c>
      <c r="D27" t="s">
        <v>208</v>
      </c>
      <c r="E27" t="s">
        <v>209</v>
      </c>
      <c r="L27">
        <f ca="1"/>
        <v>22</v>
      </c>
      <c r="M27">
        <f ca="1"/>
        <v>0</v>
      </c>
      <c r="N27">
        <f ca="1"/>
        <v>0</v>
      </c>
    </row>
    <row r="28" spans="1:26" x14ac:dyDescent="0.3">
      <c r="A28" t="s">
        <v>210</v>
      </c>
      <c r="L28">
        <f ca="1"/>
        <v>23</v>
      </c>
      <c r="M28">
        <f ca="1"/>
        <v>27230</v>
      </c>
      <c r="N28">
        <f ca="1"/>
        <v>0</v>
      </c>
    </row>
    <row r="29" spans="1:26" x14ac:dyDescent="0.3">
      <c r="A29" t="s">
        <v>211</v>
      </c>
      <c r="L29">
        <f ca="1"/>
        <v>24</v>
      </c>
      <c r="M29">
        <f ca="1"/>
        <v>0</v>
      </c>
      <c r="N29">
        <f ca="1"/>
        <v>0</v>
      </c>
    </row>
    <row r="30" spans="1:26" x14ac:dyDescent="0.3">
      <c r="A30" t="s">
        <v>212</v>
      </c>
      <c r="L30">
        <f ca="1"/>
        <v>25</v>
      </c>
      <c r="M30">
        <f ca="1"/>
        <v>146000</v>
      </c>
      <c r="N30">
        <f ca="1"/>
        <v>0</v>
      </c>
    </row>
    <row r="31" spans="1:26" x14ac:dyDescent="0.3">
      <c r="A31" t="s">
        <v>213</v>
      </c>
      <c r="L31">
        <f ca="1"/>
        <v>26</v>
      </c>
      <c r="M31">
        <f ca="1"/>
        <v>0</v>
      </c>
      <c r="N31">
        <f ca="1"/>
        <v>85000</v>
      </c>
    </row>
    <row r="32" spans="1:26" x14ac:dyDescent="0.3">
      <c r="A32" t="s">
        <v>214</v>
      </c>
      <c r="L32">
        <f ca="1"/>
        <v>27</v>
      </c>
      <c r="M32">
        <f ca="1"/>
        <v>0</v>
      </c>
      <c r="N32">
        <f ca="1"/>
        <v>0</v>
      </c>
    </row>
    <row r="33" spans="1:14" x14ac:dyDescent="0.3">
      <c r="A33" t="s">
        <v>215</v>
      </c>
      <c r="L33">
        <f ca="1"/>
        <v>28</v>
      </c>
      <c r="M33">
        <f ca="1"/>
        <v>0</v>
      </c>
      <c r="N33">
        <f ca="1"/>
        <v>0</v>
      </c>
    </row>
    <row r="34" spans="1:14" x14ac:dyDescent="0.3">
      <c r="A34" t="s">
        <v>216</v>
      </c>
      <c r="L34">
        <f ca="1"/>
        <v>29</v>
      </c>
      <c r="M34">
        <f ca="1"/>
        <v>0</v>
      </c>
      <c r="N34">
        <f ca="1"/>
        <v>0</v>
      </c>
    </row>
    <row r="35" spans="1:14" x14ac:dyDescent="0.3">
      <c r="A35" t="s">
        <v>217</v>
      </c>
      <c r="L35">
        <f ca="1"/>
        <v>30</v>
      </c>
      <c r="M35">
        <f ca="1"/>
        <v>0</v>
      </c>
      <c r="N35">
        <f ca="1"/>
        <v>0</v>
      </c>
    </row>
    <row r="36" spans="1:14" x14ac:dyDescent="0.3">
      <c r="A36" t="s">
        <v>218</v>
      </c>
      <c r="L36">
        <f ca="1"/>
        <v>31</v>
      </c>
      <c r="M36">
        <f ca="1"/>
        <v>0</v>
      </c>
      <c r="N36">
        <f ca="1"/>
        <v>0</v>
      </c>
    </row>
    <row r="37" spans="1:14" x14ac:dyDescent="0.3">
      <c r="A37" t="s">
        <v>219</v>
      </c>
    </row>
    <row r="38" spans="1:14" x14ac:dyDescent="0.3">
      <c r="A38" t="s">
        <v>220</v>
      </c>
    </row>
    <row r="39" spans="1:14" x14ac:dyDescent="0.3">
      <c r="A39" t="s">
        <v>221</v>
      </c>
    </row>
    <row r="40" spans="1:14" x14ac:dyDescent="0.3">
      <c r="A40" t="s">
        <v>222</v>
      </c>
    </row>
    <row r="41" spans="1:14" x14ac:dyDescent="0.3">
      <c r="A41" t="s">
        <v>223</v>
      </c>
    </row>
    <row r="42" spans="1:14" x14ac:dyDescent="0.3">
      <c r="A42" t="s">
        <v>224</v>
      </c>
    </row>
    <row r="43" spans="1:14" x14ac:dyDescent="0.3">
      <c r="A43" t="s">
        <v>225</v>
      </c>
    </row>
    <row r="44" spans="1:14" x14ac:dyDescent="0.3">
      <c r="A44" t="s">
        <v>226</v>
      </c>
    </row>
    <row r="45" spans="1:14" x14ac:dyDescent="0.3">
      <c r="A45" t="s">
        <v>227</v>
      </c>
    </row>
    <row r="46" spans="1:14" x14ac:dyDescent="0.3">
      <c r="A46" t="s">
        <v>228</v>
      </c>
    </row>
    <row r="47" spans="1:14" x14ac:dyDescent="0.3">
      <c r="A47" t="s">
        <v>229</v>
      </c>
    </row>
    <row r="48" spans="1:14" x14ac:dyDescent="0.3">
      <c r="A48" t="s">
        <v>230</v>
      </c>
    </row>
    <row r="49" spans="1:1" x14ac:dyDescent="0.3">
      <c r="A49" t="s">
        <v>231</v>
      </c>
    </row>
    <row r="50" spans="1:1" x14ac:dyDescent="0.3">
      <c r="A50" t="s">
        <v>232</v>
      </c>
    </row>
    <row r="53" spans="1:1" x14ac:dyDescent="0.3">
      <c r="A53" t="s">
        <v>235</v>
      </c>
    </row>
    <row r="54" spans="1:1" x14ac:dyDescent="0.3">
      <c r="A54" s="18" t="s">
        <v>236</v>
      </c>
    </row>
    <row r="55" spans="1:1" x14ac:dyDescent="0.3">
      <c r="A55" s="19" t="s">
        <v>237</v>
      </c>
    </row>
    <row r="56" spans="1:1" x14ac:dyDescent="0.3">
      <c r="A56" s="18" t="s">
        <v>238</v>
      </c>
    </row>
    <row r="57" spans="1:1" x14ac:dyDescent="0.3">
      <c r="A57" s="20" t="s">
        <v>239</v>
      </c>
    </row>
    <row r="58" spans="1:1" x14ac:dyDescent="0.3">
      <c r="A58" s="20" t="s">
        <v>240</v>
      </c>
    </row>
    <row r="59" spans="1:1" x14ac:dyDescent="0.3">
      <c r="A59" s="20" t="s">
        <v>241</v>
      </c>
    </row>
    <row r="60" spans="1:1" x14ac:dyDescent="0.3">
      <c r="A60" s="20" t="s">
        <v>242</v>
      </c>
    </row>
    <row r="61" spans="1:1" x14ac:dyDescent="0.3">
      <c r="A61" s="18" t="s">
        <v>243</v>
      </c>
    </row>
    <row r="62" spans="1:1" x14ac:dyDescent="0.3">
      <c r="A62" s="19" t="s">
        <v>244</v>
      </c>
    </row>
    <row r="63" spans="1:1" x14ac:dyDescent="0.3">
      <c r="A63" s="18" t="s">
        <v>245</v>
      </c>
    </row>
    <row r="64" spans="1:1" x14ac:dyDescent="0.3">
      <c r="A64" s="20" t="s">
        <v>246</v>
      </c>
    </row>
    <row r="65" spans="1:1" x14ac:dyDescent="0.3">
      <c r="A65" s="20" t="s">
        <v>247</v>
      </c>
    </row>
    <row r="66" spans="1:1" x14ac:dyDescent="0.3">
      <c r="A66" s="20" t="s">
        <v>248</v>
      </c>
    </row>
    <row r="67" spans="1:1" x14ac:dyDescent="0.3">
      <c r="A67" s="20" t="s">
        <v>249</v>
      </c>
    </row>
    <row r="68" spans="1:1" x14ac:dyDescent="0.3">
      <c r="A68" s="19" t="s">
        <v>250</v>
      </c>
    </row>
    <row r="69" spans="1:1" x14ac:dyDescent="0.3">
      <c r="A69" s="20" t="s">
        <v>251</v>
      </c>
    </row>
    <row r="70" spans="1:1" x14ac:dyDescent="0.3">
      <c r="A70" s="20" t="s">
        <v>252</v>
      </c>
    </row>
    <row r="71" spans="1:1" x14ac:dyDescent="0.3">
      <c r="A71" s="20" t="s">
        <v>253</v>
      </c>
    </row>
    <row r="72" spans="1:1" x14ac:dyDescent="0.3">
      <c r="A72" s="20" t="s">
        <v>254</v>
      </c>
    </row>
    <row r="73" spans="1:1" x14ac:dyDescent="0.3">
      <c r="A73" s="19" t="s">
        <v>255</v>
      </c>
    </row>
    <row r="74" spans="1:1" x14ac:dyDescent="0.3">
      <c r="A74" s="20" t="s">
        <v>256</v>
      </c>
    </row>
    <row r="75" spans="1:1" x14ac:dyDescent="0.3">
      <c r="A75" s="20" t="s">
        <v>257</v>
      </c>
    </row>
    <row r="76" spans="1:1" x14ac:dyDescent="0.3">
      <c r="A76" s="20" t="s">
        <v>258</v>
      </c>
    </row>
    <row r="77" spans="1:1" x14ac:dyDescent="0.3">
      <c r="A77" s="20" t="s">
        <v>259</v>
      </c>
    </row>
    <row r="78" spans="1:1" x14ac:dyDescent="0.3">
      <c r="A78" s="19" t="s">
        <v>260</v>
      </c>
    </row>
    <row r="79" spans="1:1" x14ac:dyDescent="0.3">
      <c r="A79" s="20" t="s">
        <v>261</v>
      </c>
    </row>
    <row r="80" spans="1:1" x14ac:dyDescent="0.3">
      <c r="A80" s="20" t="s">
        <v>262</v>
      </c>
    </row>
    <row r="81" spans="1:1" x14ac:dyDescent="0.3">
      <c r="A81" s="20" t="s">
        <v>263</v>
      </c>
    </row>
    <row r="82" spans="1:1" x14ac:dyDescent="0.3">
      <c r="A82" s="20" t="s">
        <v>264</v>
      </c>
    </row>
    <row r="83" spans="1:1" x14ac:dyDescent="0.3">
      <c r="A83" s="19" t="s">
        <v>265</v>
      </c>
    </row>
    <row r="84" spans="1:1" x14ac:dyDescent="0.3">
      <c r="A84" s="18" t="s">
        <v>266</v>
      </c>
    </row>
    <row r="85" spans="1:1" x14ac:dyDescent="0.3">
      <c r="A85" s="21" t="s">
        <v>267</v>
      </c>
    </row>
    <row r="86" spans="1:1" x14ac:dyDescent="0.3">
      <c r="A86" s="21" t="s">
        <v>268</v>
      </c>
    </row>
    <row r="87" spans="1:1" x14ac:dyDescent="0.3">
      <c r="A87" s="21" t="s">
        <v>269</v>
      </c>
    </row>
    <row r="88" spans="1:1" x14ac:dyDescent="0.3">
      <c r="A88" s="21" t="s">
        <v>270</v>
      </c>
    </row>
    <row r="89" spans="1:1" x14ac:dyDescent="0.3">
      <c r="A89" s="21" t="s">
        <v>271</v>
      </c>
    </row>
  </sheetData>
  <mergeCells count="1">
    <mergeCell ref="A1:D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JAAiACwAIgBpAHMAQwB1AHIAcgBlAG4AYwB5AFMAeQBtAGIAbwBsAEwAZQBhAGQAIgA6AHQAcgB1AGUALAAiAGkAcwBDAHUAcgByAGUAbgBjAHkAUwBlAHAAQgB5AFMAcABhAGMAZQAiADoAdAByAHUAZQAsACIAcgBvAHcATABlAHQAdABlAHIAIgA6ACIARgAiACwAIgBjAG8AbAB1AG0AbgBMAGUAdAB0AGUAcgAiADoAIgBDACIALAAiAHIAYwBMAGUAZgB0AEIAcgBhAGMAawBlAHQAIgA6ACIAWwAiACwAIgByAGMAUgBpAGcAaAB0AEIAcgBhAGMAawBlAHQAIgA6ACIAXQAiACwAIgBzAHQAYQB0AGUAbQBlAG4AdABTAGUAcABhAHIAYQB0AG8AcgAiADoAIgA7ADsAIgAsACIAbABvAGMAYQBsAGUATgBhAG0AZQAiADoAIgBlAHMALQBlAHMAIgB9AH0A</AFEJSONBlob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6498C545-1687-43C9-8220-F0FFA681ABA0}">
  <ds:schemaRefs/>
</ds:datastoreItem>
</file>

<file path=customXml/itemProps2.xml><?xml version="1.0" encoding="utf-8"?>
<ds:datastoreItem xmlns:ds="http://schemas.openxmlformats.org/officeDocument/2006/customXml" ds:itemID="{475E30DD-D31B-4B68-9782-C7F1F804D435}">
  <ds:schemaRefs/>
</ds:datastoreItem>
</file>

<file path=customXml/itemProps3.xml><?xml version="1.0" encoding="utf-8"?>
<ds:datastoreItem xmlns:ds="http://schemas.openxmlformats.org/officeDocument/2006/customXml" ds:itemID="{735AA8B9-6BB2-4212-9C2F-9B6BCD9EEFB7}">
  <ds:schemaRefs>
    <ds:schemaRef ds:uri="http://gemini/pivotcustomization/TableXML_BD_Ejecucion_2c6890a7-e721-4957-88e7-c10328e9954e"/>
  </ds:schemaRefs>
</ds:datastoreItem>
</file>

<file path=customXml/itemProps4.xml><?xml version="1.0" encoding="utf-8"?>
<ds:datastoreItem xmlns:ds="http://schemas.openxmlformats.org/officeDocument/2006/customXml" ds:itemID="{FAA0A71E-B689-4D40-B3FE-413E4E6A0D4F}">
  <ds:schemaRefs/>
</ds:datastoreItem>
</file>

<file path=customXml/itemProps5.xml><?xml version="1.0" encoding="utf-8"?>
<ds:datastoreItem xmlns:ds="http://schemas.openxmlformats.org/officeDocument/2006/customXml" ds:itemID="{E97AE5E0-A60C-43DC-94AF-16256C3BD121}">
  <ds:schemaRefs/>
</ds:datastoreItem>
</file>

<file path=customXml/itemProps6.xml><?xml version="1.0" encoding="utf-8"?>
<ds:datastoreItem xmlns:ds="http://schemas.openxmlformats.org/officeDocument/2006/customXml" ds:itemID="{9EE9A4F7-65AF-4AC2-8797-78124DD797C8}">
  <ds:schemaRefs>
    <ds:schemaRef ds:uri="http://gemini/pivotcustomization/ManualCalcMode"/>
  </ds:schemaRefs>
</ds:datastoreItem>
</file>

<file path=customXml/itemProps7.xml><?xml version="1.0" encoding="utf-8"?>
<ds:datastoreItem xmlns:ds="http://schemas.openxmlformats.org/officeDocument/2006/customXml" ds:itemID="{B6D3263F-E559-4BF6-B6F7-8A70393CEC9D}">
  <ds:schemaRefs>
    <ds:schemaRef ds:uri="http://schemas.advancedformulaenvironment.officeapps.live.com/afejsonblob/1.0"/>
  </ds:schemaRefs>
</ds:datastoreItem>
</file>

<file path=customXml/itemProps8.xml><?xml version="1.0" encoding="utf-8"?>
<ds:datastoreItem xmlns:ds="http://schemas.openxmlformats.org/officeDocument/2006/customXml" ds:itemID="{380B006C-D7B2-4BFC-BC6E-C3A7B9C52814}">
  <ds:schemaRefs/>
</ds:datastoreItem>
</file>

<file path=customXml/itemProps9.xml><?xml version="1.0" encoding="utf-8"?>
<ds:datastoreItem xmlns:ds="http://schemas.openxmlformats.org/officeDocument/2006/customXml" ds:itemID="{016508E8-BCBC-49CC-A537-7D2AC8777C52}">
  <ds:schemaRefs/>
</ds:datastoreItem>
</file>

<file path=customXml/itemProps10.xml><?xml version="1.0" encoding="utf-8"?>
<ds:datastoreItem xmlns:ds="http://schemas.openxmlformats.org/officeDocument/2006/customXml" ds:itemID="{21E3FB54-8007-4506-8C01-F8C9B32A54A0}">
  <ds:schemaRefs/>
</ds:datastoreItem>
</file>

<file path=customXml/itemProps11.xml><?xml version="1.0" encoding="utf-8"?>
<ds:datastoreItem xmlns:ds="http://schemas.openxmlformats.org/officeDocument/2006/customXml" ds:itemID="{2564FEAC-6BA0-48DC-9EA6-C9021AFE30AC}">
  <ds:schemaRefs/>
</ds:datastoreItem>
</file>

<file path=customXml/itemProps12.xml><?xml version="1.0" encoding="utf-8"?>
<ds:datastoreItem xmlns:ds="http://schemas.openxmlformats.org/officeDocument/2006/customXml" ds:itemID="{4F08CD86-E225-4ACE-B4E2-208ABBB4BD12}">
  <ds:schemaRefs/>
</ds:datastoreItem>
</file>

<file path=customXml/itemProps13.xml><?xml version="1.0" encoding="utf-8"?>
<ds:datastoreItem xmlns:ds="http://schemas.openxmlformats.org/officeDocument/2006/customXml" ds:itemID="{069E8A6F-4B0D-48EB-8E60-61582B36E6B5}">
  <ds:schemaRefs/>
</ds:datastoreItem>
</file>

<file path=customXml/itemProps14.xml><?xml version="1.0" encoding="utf-8"?>
<ds:datastoreItem xmlns:ds="http://schemas.openxmlformats.org/officeDocument/2006/customXml" ds:itemID="{673816CD-85C9-4ACC-935D-193DFC9DE84D}">
  <ds:schemaRefs>
    <ds:schemaRef ds:uri="http://gemini/pivotcustomization/TableXML_Egresos"/>
  </ds:schemaRefs>
</ds:datastoreItem>
</file>

<file path=customXml/itemProps15.xml><?xml version="1.0" encoding="utf-8"?>
<ds:datastoreItem xmlns:ds="http://schemas.openxmlformats.org/officeDocument/2006/customXml" ds:itemID="{FDE421EB-B184-4C51-A4F9-346E06E23228}">
  <ds:schemaRefs/>
</ds:datastoreItem>
</file>

<file path=customXml/itemProps16.xml><?xml version="1.0" encoding="utf-8"?>
<ds:datastoreItem xmlns:ds="http://schemas.openxmlformats.org/officeDocument/2006/customXml" ds:itemID="{F19F5C19-B912-4338-8A43-CA4109631F98}">
  <ds:schemaRefs/>
</ds:datastoreItem>
</file>

<file path=customXml/itemProps17.xml><?xml version="1.0" encoding="utf-8"?>
<ds:datastoreItem xmlns:ds="http://schemas.openxmlformats.org/officeDocument/2006/customXml" ds:itemID="{1D9C60D6-D5E7-488A-B637-611DFF9FF229}">
  <ds:schemaRefs>
    <ds:schemaRef ds:uri="http://gemini/pivotcustomization/TableXML_Gastos"/>
  </ds:schemaRefs>
</ds:datastoreItem>
</file>

<file path=customXml/itemProps18.xml><?xml version="1.0" encoding="utf-8"?>
<ds:datastoreItem xmlns:ds="http://schemas.openxmlformats.org/officeDocument/2006/customXml" ds:itemID="{95673A4A-63A7-4740-8E17-42AB7D11709F}">
  <ds:schemaRefs/>
</ds:datastoreItem>
</file>

<file path=customXml/itemProps19.xml><?xml version="1.0" encoding="utf-8"?>
<ds:datastoreItem xmlns:ds="http://schemas.openxmlformats.org/officeDocument/2006/customXml" ds:itemID="{C59CFC8A-6B80-477A-B08B-521FA5D438AD}">
  <ds:schemaRefs/>
</ds:datastoreItem>
</file>

<file path=customXml/itemProps20.xml><?xml version="1.0" encoding="utf-8"?>
<ds:datastoreItem xmlns:ds="http://schemas.openxmlformats.org/officeDocument/2006/customXml" ds:itemID="{91FEA7CE-2CBE-4938-8217-FE616CA49785}">
  <ds:schemaRefs>
    <ds:schemaRef ds:uri="http://gemini/pivotcustomization/TableXML_Costos"/>
  </ds:schemaRefs>
</ds:datastoreItem>
</file>

<file path=customXml/itemProps21.xml><?xml version="1.0" encoding="utf-8"?>
<ds:datastoreItem xmlns:ds="http://schemas.openxmlformats.org/officeDocument/2006/customXml" ds:itemID="{5C6FF3EE-A8DE-4580-935D-11DF1D13A62F}">
  <ds:schemaRefs/>
</ds:datastoreItem>
</file>

<file path=customXml/itemProps22.xml><?xml version="1.0" encoding="utf-8"?>
<ds:datastoreItem xmlns:ds="http://schemas.openxmlformats.org/officeDocument/2006/customXml" ds:itemID="{5358991D-9EB5-444B-81DD-12490BB4DB1C}">
  <ds:schemaRefs>
    <ds:schemaRef ds:uri="http://gemini/pivotcustomization/TableXML_Ejecucion"/>
  </ds:schemaRefs>
</ds:datastoreItem>
</file>

<file path=customXml/itemProps23.xml><?xml version="1.0" encoding="utf-8"?>
<ds:datastoreItem xmlns:ds="http://schemas.openxmlformats.org/officeDocument/2006/customXml" ds:itemID="{887184F8-2D7A-4DEA-9AE0-0631DA52B181}">
  <ds:schemaRefs/>
</ds:datastoreItem>
</file>

<file path=customXml/itemProps24.xml><?xml version="1.0" encoding="utf-8"?>
<ds:datastoreItem xmlns:ds="http://schemas.openxmlformats.org/officeDocument/2006/customXml" ds:itemID="{E4F315B5-3638-4584-9433-81E4A5B3C09D}">
  <ds:schemaRefs/>
</ds:datastoreItem>
</file>

<file path=customXml/itemProps25.xml><?xml version="1.0" encoding="utf-8"?>
<ds:datastoreItem xmlns:ds="http://schemas.openxmlformats.org/officeDocument/2006/customXml" ds:itemID="{3364D8C9-A838-4EDF-80C1-A106731A170F}">
  <ds:schemaRefs/>
</ds:datastoreItem>
</file>

<file path=customXml/itemProps26.xml><?xml version="1.0" encoding="utf-8"?>
<ds:datastoreItem xmlns:ds="http://schemas.openxmlformats.org/officeDocument/2006/customXml" ds:itemID="{07818FCE-900E-49F3-8C2F-9E9D35E3571C}">
  <ds:schemaRefs>
    <ds:schemaRef ds:uri="http://gemini/pivotcustomization/TableXML_Concepto"/>
  </ds:schemaRefs>
</ds:datastoreItem>
</file>

<file path=customXml/itemProps27.xml><?xml version="1.0" encoding="utf-8"?>
<ds:datastoreItem xmlns:ds="http://schemas.openxmlformats.org/officeDocument/2006/customXml" ds:itemID="{DB7529E2-0747-448F-BD36-4F7790629EB8}">
  <ds:schemaRefs/>
</ds:datastoreItem>
</file>

<file path=customXml/itemProps28.xml><?xml version="1.0" encoding="utf-8"?>
<ds:datastoreItem xmlns:ds="http://schemas.openxmlformats.org/officeDocument/2006/customXml" ds:itemID="{B34471F1-9A06-4F4A-9902-87C961C29767}">
  <ds:schemaRefs/>
</ds:datastoreItem>
</file>

<file path=customXml/itemProps29.xml><?xml version="1.0" encoding="utf-8"?>
<ds:datastoreItem xmlns:ds="http://schemas.openxmlformats.org/officeDocument/2006/customXml" ds:itemID="{E3A1A2D1-0264-469A-8D2F-04FC168AF0C1}">
  <ds:schemaRefs>
    <ds:schemaRef ds:uri="http://gemini/pivotcustomization/LinkedTableUpdateMode"/>
  </ds:schemaRefs>
</ds:datastoreItem>
</file>

<file path=customXml/itemProps30.xml><?xml version="1.0" encoding="utf-8"?>
<ds:datastoreItem xmlns:ds="http://schemas.openxmlformats.org/officeDocument/2006/customXml" ds:itemID="{1E01D283-96BA-45DA-A5B2-8BC1DA2C8B35}">
  <ds:schemaRefs>
    <ds:schemaRef ds:uri="http://gemini/pivotcustomization/TableXML_Ingresos"/>
  </ds:schemaRefs>
</ds:datastoreItem>
</file>

<file path=customXml/itemProps31.xml><?xml version="1.0" encoding="utf-8"?>
<ds:datastoreItem xmlns:ds="http://schemas.openxmlformats.org/officeDocument/2006/customXml" ds:itemID="{15DFEFE3-5846-4F8B-98CD-C7D1FF310191}">
  <ds:schemaRefs/>
</ds:datastoreItem>
</file>

<file path=customXml/itemProps32.xml><?xml version="1.0" encoding="utf-8"?>
<ds:datastoreItem xmlns:ds="http://schemas.openxmlformats.org/officeDocument/2006/customXml" ds:itemID="{A5A50213-F209-4360-85EE-227C5D655228}">
  <ds:schemaRefs>
    <ds:schemaRef ds:uri="http://gemini/pivotcustomization/ShowHidden"/>
  </ds:schemaRefs>
</ds:datastoreItem>
</file>

<file path=customXml/itemProps33.xml><?xml version="1.0" encoding="utf-8"?>
<ds:datastoreItem xmlns:ds="http://schemas.openxmlformats.org/officeDocument/2006/customXml" ds:itemID="{55F75860-B152-4534-B506-89CEF5BC7B4F}">
  <ds:schemaRefs>
    <ds:schemaRef ds:uri="http://gemini/pivotcustomization/ShowImplicitMeasures"/>
  </ds:schemaRefs>
</ds:datastoreItem>
</file>

<file path=customXml/itemProps34.xml><?xml version="1.0" encoding="utf-8"?>
<ds:datastoreItem xmlns:ds="http://schemas.openxmlformats.org/officeDocument/2006/customXml" ds:itemID="{7CEA0B79-C4D4-4273-9A37-31EE229E20AF}">
  <ds:schemaRefs/>
</ds:datastoreItem>
</file>

<file path=customXml/itemProps35.xml><?xml version="1.0" encoding="utf-8"?>
<ds:datastoreItem xmlns:ds="http://schemas.openxmlformats.org/officeDocument/2006/customXml" ds:itemID="{E3BE33D7-277A-4B51-8CB4-0AD8DAC62C3A}">
  <ds:schemaRefs/>
</ds:datastoreItem>
</file>

<file path=customXml/itemProps36.xml><?xml version="1.0" encoding="utf-8"?>
<ds:datastoreItem xmlns:ds="http://schemas.openxmlformats.org/officeDocument/2006/customXml" ds:itemID="{646B6008-159E-4EFB-8055-D4C2187CE192}">
  <ds:schemaRefs/>
</ds:datastoreItem>
</file>

<file path=customXml/itemProps37.xml><?xml version="1.0" encoding="utf-8"?>
<ds:datastoreItem xmlns:ds="http://schemas.openxmlformats.org/officeDocument/2006/customXml" ds:itemID="{E306BBC4-D488-4450-BE5A-A53132356C79}">
  <ds:schemaRefs>
    <ds:schemaRef ds:uri="http://schemas.microsoft.com/DataMashup"/>
  </ds:schemaRefs>
</ds:datastoreItem>
</file>

<file path=customXml/itemProps38.xml><?xml version="1.0" encoding="utf-8"?>
<ds:datastoreItem xmlns:ds="http://schemas.openxmlformats.org/officeDocument/2006/customXml" ds:itemID="{6BD4715A-D636-467C-B098-E36EFCD66DB0}">
  <ds:schemaRefs/>
</ds:datastoreItem>
</file>

<file path=customXml/itemProps39.xml><?xml version="1.0" encoding="utf-8"?>
<ds:datastoreItem xmlns:ds="http://schemas.openxmlformats.org/officeDocument/2006/customXml" ds:itemID="{8DA31C1E-5168-47EB-90D6-6EC2FA7A1093}">
  <ds:schemaRefs>
    <ds:schemaRef ds:uri="http://gemini/pivotcustomization/TableXML_BD_Presupuesto"/>
  </ds:schemaRefs>
</ds:datastoreItem>
</file>

<file path=customXml/itemProps40.xml><?xml version="1.0" encoding="utf-8"?>
<ds:datastoreItem xmlns:ds="http://schemas.openxmlformats.org/officeDocument/2006/customXml" ds:itemID="{044FC58E-A8D6-4893-A53E-EC8872CE345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Proyectar</vt:lpstr>
      <vt:lpstr>Diario</vt:lpstr>
      <vt:lpstr>Ejecucion</vt:lpstr>
      <vt:lpstr>Auxiliar</vt:lpstr>
      <vt:lpstr>BD</vt:lpstr>
      <vt:lpstr>BD_Diario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Aramendi</dc:creator>
  <cp:lastModifiedBy>Brian Aramendi</cp:lastModifiedBy>
  <dcterms:created xsi:type="dcterms:W3CDTF">2026-07-03T19:31:43Z</dcterms:created>
  <dcterms:modified xsi:type="dcterms:W3CDTF">2026-09-27T23:50:35Z</dcterms:modified>
</cp:coreProperties>
</file>